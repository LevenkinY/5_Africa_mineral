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panyunzhu/Desktop/非洲能源转型🌍/critical minerals/"/>
    </mc:Choice>
  </mc:AlternateContent>
  <xr:revisionPtr revIDLastSave="0" documentId="8_{9A8E2126-DFD7-B745-96DC-6E7AB8225B6C}" xr6:coauthVersionLast="47" xr6:coauthVersionMax="47" xr10:uidLastSave="{00000000-0000-0000-0000-000000000000}"/>
  <bookViews>
    <workbookView xWindow="0" yWindow="580" windowWidth="25600" windowHeight="14380" activeTab="1" xr2:uid="{00000000-000D-0000-FFFF-FFFF00000000}"/>
  </bookViews>
  <sheets>
    <sheet name="使用说明_研究框架" sheetId="1" r:id="rId1"/>
    <sheet name="项目清单_基础库" sheetId="2" r:id="rId2"/>
    <sheet name="公司与价值流向" sheetId="3" r:id="rId3"/>
    <sheet name="来源与更新建议" sheetId="4" r:id="rId4"/>
    <sheet name="摘要_可直接引用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  <c r="B13" i="1"/>
  <c r="B12" i="1"/>
  <c r="B10" i="1"/>
</calcChain>
</file>

<file path=xl/sharedStrings.xml><?xml version="1.0" encoding="utf-8"?>
<sst xmlns="http://schemas.openxmlformats.org/spreadsheetml/2006/main" count="887" uniqueCount="746">
  <si>
    <t>撒哈拉以南非洲关键矿产价值与利润流向资料库</t>
  </si>
  <si>
    <t>更新日期</t>
  </si>
  <si>
    <t>2026-05-24</t>
  </si>
  <si>
    <t>口径说明</t>
  </si>
  <si>
    <t>本表按广义关键/战略矿产口径纳入铜、钴、锂、天然石墨、稀土、锰、铂族金属、镍、铀、锡/钽/钨等。重点不是穷尽所有矿山，而是建立可用于回答“价值与利润流向何方”的项目级数据库。</t>
  </si>
  <si>
    <t>核心分析框架</t>
  </si>
  <si>
    <t>将价值分为：①资源租/矿山经营利润；②贸易与包销利润；③加工/精炼/化学品利润；④融资与工程利润；⑤终端制造利润；⑥东道国财政、国企股权、就业和本地采购。</t>
  </si>
  <si>
    <t>使用方法</t>
  </si>
  <si>
    <t>先用“项目清单_基础库”筛选矿种/国家/主导资本；再用“公司与价值流向”识别控制权；最后用“摘要_可直接引用”组织论文或报告中的判断。</t>
  </si>
  <si>
    <t>注意</t>
  </si>
  <si>
    <t>公开数据存在滞后和资产组合并披露问题。凡标为“中/低”的条目，建议在正式写作前用公司最新年报、技术报告、EITI和海关数据二次核查。</t>
  </si>
  <si>
    <t>快速统计</t>
  </si>
  <si>
    <t>项目数量</t>
  </si>
  <si>
    <t>涉及国家/地区（需去重）</t>
  </si>
  <si>
    <t>高完整度条目数量</t>
  </si>
  <si>
    <t>中国主导/显著参与条目（粗略）</t>
  </si>
  <si>
    <t>美国/欧盟/日本/韩国显著参与条目（粗略）</t>
  </si>
  <si>
    <t>序号</t>
  </si>
  <si>
    <t>项目/矿山</t>
  </si>
  <si>
    <t>国家/地区</t>
  </si>
  <si>
    <t>矿种</t>
  </si>
  <si>
    <t>价值链环节</t>
  </si>
  <si>
    <t>状态</t>
  </si>
  <si>
    <t>产量/产能/规模（公开披露）</t>
  </si>
  <si>
    <t>资源量/储量（公开披露）</t>
  </si>
  <si>
    <t>主要公司/项目公司</t>
  </si>
  <si>
    <t>股权/控制结构（公开披露）</t>
  </si>
  <si>
    <t>主导资本国家/地区</t>
  </si>
  <si>
    <t>下游/包销/融资/技术关联</t>
  </si>
  <si>
    <t>当地价值捕获方式</t>
  </si>
  <si>
    <t>价值/利润流向初判</t>
  </si>
  <si>
    <t>披露来源类型</t>
  </si>
  <si>
    <t>来源URL</t>
  </si>
  <si>
    <t>数据完整度</t>
  </si>
  <si>
    <t>备注/下一步核查</t>
  </si>
  <si>
    <t>Kamoa-Kakula Copper Complex</t>
  </si>
  <si>
    <t>刚果（金）</t>
  </si>
  <si>
    <t>铜</t>
  </si>
  <si>
    <t>采矿-选矿-冶炼</t>
  </si>
  <si>
    <t>在产/扩建</t>
  </si>
  <si>
    <t>Ivanhoe曾给出2025铜精矿产量指引520–580 kt；Q2 2025产量112,009 t铜；Phase 3选厂高于设计能力运行</t>
  </si>
  <si>
    <t>大型铜矿资源；本表未录入完整NI 43-101资源量，建议后续从Ivanhoe AIF/技术报告补入</t>
  </si>
  <si>
    <t>Kamoa Copper / Ivanhoe Mines / Zijin Mining</t>
  </si>
  <si>
    <t>Ivanhoe与紫金各约39.6%，DRC政府20%，Crystal River约0.8%（常见披露口径）</t>
  </si>
  <si>
    <t>加拿大/中国/刚果（金）</t>
  </si>
  <si>
    <t>紫金为重要股东；项目推进本地冶炼/硫酸系统，销售面向全球铜市场</t>
  </si>
  <si>
    <t>国家股权、矿业税费、就业、基础设施；若本地冶炼稳定运行，可提高本地留存</t>
  </si>
  <si>
    <t>矿山利润在加拿大/中国股东与DRC国家股权之间分配；贸易、金融与终端制造价值继续流向境外</t>
  </si>
  <si>
    <t>公司新闻/项目披露</t>
  </si>
  <si>
    <t>https://www.ivanhoemines.com/news-stories/news-release/ivanhoe-mines-issues-2025-second-quarter-financial-results-overview-of-construction-and-exploration-activities/ ; https://www.zijinmining.com/global/program-detail-71734.htm</t>
  </si>
  <si>
    <t>中</t>
  </si>
  <si>
    <t>需更新2025全年实际产量、成本、销售去向</t>
  </si>
  <si>
    <t>Tenke Fungurume Mining (TFM)</t>
  </si>
  <si>
    <t>铜、钴</t>
  </si>
  <si>
    <t>采矿-湿法冶金</t>
  </si>
  <si>
    <t>截至2025年TFM有5条生产线，年铜产能超过450 kt；常见披露钴产能约37 kt/年</t>
  </si>
  <si>
    <t>AidData案例称2023年储量约7.89 Mt铜、0.82 Mt钴</t>
  </si>
  <si>
    <t>CMOC / Tenke Fungurume Mining</t>
  </si>
  <si>
    <t>CMOC 80%，Gécamines 20%</t>
  </si>
  <si>
    <t>中国/刚果（金）</t>
  </si>
  <si>
    <t>CMOC全球销售网络；钴中间品与铜产品进入中国及全球供应链</t>
  </si>
  <si>
    <t>Gécamines股权、税费、就业、社会投资；DRC政策影响出口配额</t>
  </si>
  <si>
    <t>上游经营利润主要由CMOC捕获；DRC通过20%股权与财政收入分享；精炼/电池材料价值主要在中国等地</t>
  </si>
  <si>
    <t>公司官网/案例PDF</t>
  </si>
  <si>
    <t>https://en.cmoc.com/html/Business/Congo-Cu-Co/ ; https://docs.aiddata.org/reports/china-transition-minerals-2025/Tenke_Fungurume_Copper_Cobalt_Mine_Chinese_Financing_for_Transition_Minerals.pdf</t>
  </si>
  <si>
    <t>高</t>
  </si>
  <si>
    <t>需拆分TFM与KFM的实际产销量</t>
  </si>
  <si>
    <t>Kisanfu Mining (KFM)</t>
  </si>
  <si>
    <t>CMOC称KFM 2025年有1条生产线，铜产能超过200 kt；2025年CMOC刚果铜钴业务合计生产铜741.1 kt、钴117.5 kt</t>
  </si>
  <si>
    <t>高品位铜钴资源；具体资源量需从技术报告/年度报告补录</t>
  </si>
  <si>
    <t>CMOC Kisanfu Mining / CATL</t>
  </si>
  <si>
    <t>CMOC约71.25%，CATL约23.75%，DRC政府5%</t>
  </si>
  <si>
    <t>CATL通过股权与供应链连接电池产业；CMOC控制采选冶与销售</t>
  </si>
  <si>
    <t>DRC保留5%股权、税费、就业、配额政策影响议价</t>
  </si>
  <si>
    <t>价值从DRC矿山端流向中国矿业与电池龙头；DRC直接捕获较TFM弱但可通过政策提高议价</t>
  </si>
  <si>
    <t>公司官网/矿山数据库</t>
  </si>
  <si>
    <t>https://en.cmoc.com/html/Business/Congo-Cu-Co/ ; https://www.miningdataonline.com/property/873/KFM-Kisanfu-Mine.aspx</t>
  </si>
  <si>
    <t>需核对CATL股权是否有最新调整</t>
  </si>
  <si>
    <t>Kamoto Copper Company (KCC)</t>
  </si>
  <si>
    <t>在产</t>
  </si>
  <si>
    <t>Glencore 2025非洲铜自有产量247.8 kt；KCC H2 2025产量受高品位矿恢复带动</t>
  </si>
  <si>
    <t>资源量需从Glencore年度报告/储量报告补入</t>
  </si>
  <si>
    <t>KCC / Glencore / Gécamines</t>
  </si>
  <si>
    <t>Glencore 70%，Gécamines 25%，DRC国家5%</t>
  </si>
  <si>
    <t>瑞士/刚果（金）</t>
  </si>
  <si>
    <t>Glencore贸易体系连接全球金属市场</t>
  </si>
  <si>
    <t>Gécamines与国家股权合计30%，税费、就业、供应商</t>
  </si>
  <si>
    <t>矿山经营现金流主要由Glencore控制；DRC股权比例较高但贸易/营销利润仍多在境外</t>
  </si>
  <si>
    <t>公司官网/产量报告</t>
  </si>
  <si>
    <t>https://www.kamotocoppercompany.com/en ; https://www.glencore.com/media-and-insights/news/full-year-2025-production-report</t>
  </si>
  <si>
    <t>Glencore仅披露资产组产量，需在年报中拆分KCC</t>
  </si>
  <si>
    <t>Mutanda Mining (MUMI)</t>
  </si>
  <si>
    <t>在产/复产</t>
  </si>
  <si>
    <t>Glencore称2025非洲铜产量增长部分来自Mutanda复产；集团自有钴产量36.1 kt</t>
  </si>
  <si>
    <t>资源量需从Glencore储量披露补录</t>
  </si>
  <si>
    <t>Mutanda Mining / Glencore</t>
  </si>
  <si>
    <t>Glencore控股；DRC国家持5%（按Copper Mark摘要披露）</t>
  </si>
  <si>
    <t>Glencore贸易体系；钴出口受DRC配额/禁令影响</t>
  </si>
  <si>
    <t>DRC 5%股权、税费、就业</t>
  </si>
  <si>
    <t>利润高度外流至跨国矿商与贸易端；DRC政策工具主要是出口配额、税费和股权</t>
  </si>
  <si>
    <t>https://www.mutandamining.com/en/who-we-are ; https://www.glencore.com/media-and-insights/news/full-year-2025-production-report</t>
  </si>
  <si>
    <t>需补充矿山级成本和钴产量</t>
  </si>
  <si>
    <t>Metalkol RTR</t>
  </si>
  <si>
    <t>尾矿再处理-湿法冶金</t>
  </si>
  <si>
    <t>ERG披露名义产能约100 kt/年铜阴极、约23 kt/年氢氧化钴含钴</t>
  </si>
  <si>
    <t>处理历史尾矿，非传统原生矿山；资源量口径需从ERG技术资料补入</t>
  </si>
  <si>
    <t>Metalkol SA / Eurasian Resources Group</t>
  </si>
  <si>
    <t>ERG 90%，DRC国家10%</t>
  </si>
  <si>
    <t>哈萨克斯坦/卢森堡/刚果（金）</t>
  </si>
  <si>
    <t>Mercuria等贸易预付款/供货关联；产品为LME级铜阴极和钴氢氧化物</t>
  </si>
  <si>
    <t>国家10%股权、环境修复/尾矿治理叙事、税费就业</t>
  </si>
  <si>
    <t>尾矿资源的再价值化由ERG捕获为主；DRC通过股权和环境治理收益参与</t>
  </si>
  <si>
    <t>公司官网/新闻</t>
  </si>
  <si>
    <t>https://www.ergafrica.com/cobalt-copper-division/metalkol-rtr/ ; https://www.eurasianresources.lu/en/pages/bdp/metalkol.html</t>
  </si>
  <si>
    <t>需更新2025实际产量</t>
  </si>
  <si>
    <t>Sicomines</t>
  </si>
  <si>
    <t>采矿-基础设施换资源</t>
  </si>
  <si>
    <t>在产/受审计关注</t>
  </si>
  <si>
    <t>具体年产量公开一致性不足；项目开发PE 9681/9682铜钴资源</t>
  </si>
  <si>
    <t>资源量需等待政府/公司认证披露</t>
  </si>
  <si>
    <t>Sicomines SARL</t>
  </si>
  <si>
    <t>中资联合体约68%；Gécamines/SIMCO等刚方约32%</t>
  </si>
  <si>
    <t>中国进出口银行、CREC/Sinohydro等基础设施融资-矿权安排</t>
  </si>
  <si>
    <t>基础设施、国企股权、税费；但真实财政净收益需审计</t>
  </si>
  <si>
    <t>典型“资源—基建—中资运营”模式：采矿收益、工程收益、融资收益多层流向中资体系，刚方获得股权与基础设施</t>
  </si>
  <si>
    <t>案例PDF/合同库/新闻</t>
  </si>
  <si>
    <t>https://docs.aiddata.org/reports/china-transition-minerals-2025/Sicomines_Copper_Cobalt_Mine_Chinese_Financing_for_Transition_Minerals.pdf ; https://resourcecontracts.org/contract/ocds-591adf-0344045224/view</t>
  </si>
  <si>
    <t>需专门追踪2026审计结果</t>
  </si>
  <si>
    <t>Etoile/Mutoshi（Chemaf资产）</t>
  </si>
  <si>
    <t>交易/重组中</t>
  </si>
  <si>
    <t>媒体称相关矿山约占全球钴供应约5%；交易金额约7亿美元，需核实交割状态</t>
  </si>
  <si>
    <t>资源量需从收购文件/技术报告补录</t>
  </si>
  <si>
    <t>Chemaf / Virtus Minerals / Orion / Lloyds Metals等</t>
  </si>
  <si>
    <t>2026媒体报道美国公司牵头收购Chemaf资产，印度/美国资本参与</t>
  </si>
  <si>
    <t>美国/印度/刚果（金）</t>
  </si>
  <si>
    <t>美国供应链安全叙事；可能重构钴贸易与融资去向</t>
  </si>
  <si>
    <t>DRC通过审批、税费、就业和资源民族主义议价</t>
  </si>
  <si>
    <t>若交易完成，部分价值流从中国竞争者转向美印资本和商品基金；DRC仍主要位于上游</t>
  </si>
  <si>
    <t>新闻</t>
  </si>
  <si>
    <t>https://www.lemonde.fr/en/le-monde-africa/article/2026/04/04/in-the-democratic-republic-of-congo-a-us-company-secures-a-huge-deal-by-acquiring-copper-and-cobalt-mines_6752101_124.html</t>
  </si>
  <si>
    <t>低</t>
  </si>
  <si>
    <t>高时效信息，必须二次核实</t>
  </si>
  <si>
    <t>Kansanshi Mine/S3 Expansion</t>
  </si>
  <si>
    <t>赞比亚</t>
  </si>
  <si>
    <t>铜、金</t>
  </si>
  <si>
    <t>采矿-冶炼/扩建</t>
  </si>
  <si>
    <t>2025铜产量指引160–190 kt；2026指引180–210 kt；S3扩建2025年7月进入最终调试</t>
  </si>
  <si>
    <t>资源量需从FQM年度资源报告补入</t>
  </si>
  <si>
    <t>First Quantum Minerals / Kansanshi Mining Plc</t>
  </si>
  <si>
    <t>FQM 80%，ZCCM-IH 20%</t>
  </si>
  <si>
    <t>加拿大/赞比亚</t>
  </si>
  <si>
    <t>FQM销售体系；金流交易/融资安排可影响收益分配</t>
  </si>
  <si>
    <t>ZCCM-IH 20%股权、矿业税费、就业和本地采购</t>
  </si>
  <si>
    <t>赞比亚保留重要少数股权，但经营与营销收益主要由加拿大矿商捕获</t>
  </si>
  <si>
    <t>公司官网/国家投资公司</t>
  </si>
  <si>
    <t>https://www.first-quantum.com/operations/kansanshi/ ; https://www.zccm-ih.com.zm/investments/mining-assets/kansanshi-mining-plc/</t>
  </si>
  <si>
    <t>需更新S3实际投产后产量</t>
  </si>
  <si>
    <t>Sentinel Mine</t>
  </si>
  <si>
    <t>采矿-选矿</t>
  </si>
  <si>
    <t>FQM称Sentinel为赞比亚65年来最大基础设施项目之一，投资约21亿美元</t>
  </si>
  <si>
    <t>资源量需从FQM储量报告补入</t>
  </si>
  <si>
    <t>First Quantum Minerals</t>
  </si>
  <si>
    <t>FQM控股运营</t>
  </si>
  <si>
    <t>铜精矿进入FQM全球销售网络</t>
  </si>
  <si>
    <t>税费、就业、基础设施；国家股权较Kansanshi弱</t>
  </si>
  <si>
    <t>上游利润主要流向FQM；当地更多通过工资、税费和供应商捕获</t>
  </si>
  <si>
    <t>公司官网</t>
  </si>
  <si>
    <t>https://www.first-quantum.com/operations/sentinel/</t>
  </si>
  <si>
    <t>需补充2024/2025矿山级产量</t>
  </si>
  <si>
    <t>Mopani Copper Mines</t>
  </si>
  <si>
    <t>采矿-冶炼/复兴</t>
  </si>
  <si>
    <t>在产/资本重组</t>
  </si>
  <si>
    <t>IRH称2024年收购51%股权；市场披露目标到2029年铜产量300 kt/年</t>
  </si>
  <si>
    <t>资源量需从Mopani/ZCCM文件补入</t>
  </si>
  <si>
    <t>Mopani Copper Mines / IRH / ZCCM-IH</t>
  </si>
  <si>
    <t>IRH 51%，ZCCM-IH 49%</t>
  </si>
  <si>
    <t>阿联酋/赞比亚</t>
  </si>
  <si>
    <t>IRH提供资金和运营；可能连接中东大宗商品/战略矿产投资</t>
  </si>
  <si>
    <t>ZCCM-IH 49%股权、税费、就业；赞比亚保留较高利益份额</t>
  </si>
  <si>
    <t>利润流向从Glencore历史体系转向阿联酋资本与赞比亚国家资本共同分享</t>
  </si>
  <si>
    <t>公司官网/投资者披露</t>
  </si>
  <si>
    <t>https://www.irh.ae/assets/ ; https://mopani.com.zm/about_us/</t>
  </si>
  <si>
    <t>需跟踪IRH投资到位和产量爬坡</t>
  </si>
  <si>
    <t>Konkola Copper Mines (KCM)</t>
  </si>
  <si>
    <t>采矿-冶炼</t>
  </si>
  <si>
    <t>在产/融资重组</t>
  </si>
  <si>
    <t>Vedanta拟融资约10亿美元，目标5年内把KCM铜产量提高到300 kt/年</t>
  </si>
  <si>
    <t>披露称KCM为高品位铜资产并有钴储量；资源量需从正式文件补入</t>
  </si>
  <si>
    <t>Vedanta Resources / KCM / CopperTech Metals</t>
  </si>
  <si>
    <t>Vedanta约80%，ZCCM-IH约20%；2025年拟由美国注册CopperTech持有/运营</t>
  </si>
  <si>
    <t>印度/美国架构/赞比亚</t>
  </si>
  <si>
    <t>拟利用美国资本市场和供应链政策融资</t>
  </si>
  <si>
    <t>ZCCM-IH股权、税费、就业、政府审批</t>
  </si>
  <si>
    <t>利润可能经印度母公司与美国融资平台外流；赞比亚以少数股权和税收分享</t>
  </si>
  <si>
    <t>https://kcm.co.zm/ ; https://www.reuters.com/world/africa/vedanta-aims-raise-1-bln-via-debt-fund-zambian-copper-mines-2025-02-06/</t>
  </si>
  <si>
    <t>需确认CopperTech交易完成情况</t>
  </si>
  <si>
    <t>Bikita Minerals</t>
  </si>
  <si>
    <t>津巴布韦</t>
  </si>
  <si>
    <t>锂</t>
  </si>
  <si>
    <t>采矿-选矿/硫酸锂计划</t>
  </si>
  <si>
    <t>Sinomine披露Bikita 2023年11月稳定生产；津巴布韦计划2027年禁运锂精矿</t>
  </si>
  <si>
    <t>历史大型锂矿；资源量需从Sinomine年报补入</t>
  </si>
  <si>
    <t>Bikita Minerals / Sinomine Resource Group</t>
  </si>
  <si>
    <t>Sinomine控股</t>
  </si>
  <si>
    <t>中国/津巴布韦</t>
  </si>
  <si>
    <t>Sinomine计划本地硫酸锂项目；产品进入中国锂化工链</t>
  </si>
  <si>
    <t>税费、就业、可能的本地硫酸锂加工；政策要求提升本地加工</t>
  </si>
  <si>
    <t>当前采选利润和化工利润主要流向中国企业；津巴布韦试图通过出口限制把部分中游价值留在国内</t>
  </si>
  <si>
    <t>公司年报/新闻</t>
  </si>
  <si>
    <t>https://en.sinomine.cn/uploads/20250425/1745545577976758.pdf ; https://www.reuters.com/business/energy/zimbabwe-ban-export-lithium-concentrates-2027-2025-06-10/</t>
  </si>
  <si>
    <t>需补充矿山级产量和Li2O品位</t>
  </si>
  <si>
    <t>Arcadia Lithium Mine</t>
  </si>
  <si>
    <t>采矿-选矿/硫酸锂建设</t>
  </si>
  <si>
    <t>在产/中游建设</t>
  </si>
  <si>
    <t>Huayou 2024年从津巴布韦出口约400 kt锂精矿；计划2026年初投产&gt;50 kt/年硫酸锂装置</t>
  </si>
  <si>
    <t>资源量需从Prospect/Arcadia技术文件补入</t>
  </si>
  <si>
    <t>Prospect Lithium Zimbabwe / Zhejiang Huayou Cobalt</t>
  </si>
  <si>
    <t>Huayou 2022年约4.22亿美元收购Arcadia 100%权益</t>
  </si>
  <si>
    <t>中国钴锂材料企业一体化；硫酸锂为电池级化学品中间体</t>
  </si>
  <si>
    <t>税费、就业、本地硫酸锂加工、出口政策议价</t>
  </si>
  <si>
    <t>锂精矿价值多流向Huayou与中国下游；硫酸锂若本地化，可把部分中游价值留在津巴布韦</t>
  </si>
  <si>
    <t>公司/新闻</t>
  </si>
  <si>
    <t>https://prospectresources.com.au/arcadia-case-study/ ; https://www.reuters.com/world/africa/huayou-start-zimbabwe-lithium-sulphate-production-early-2026-2025-10-17/</t>
  </si>
  <si>
    <t>需补充2025实际出口量</t>
  </si>
  <si>
    <t>Sabi Star Lithium Mine</t>
  </si>
  <si>
    <t>公开报道称年选矿能力约1 Mt矿石，对应约200–300 kt/年锂精矿</t>
  </si>
  <si>
    <t>资源量需从Chengxin/项目技术文件补录</t>
  </si>
  <si>
    <t>Chengxin Lithium / Sabi Star</t>
  </si>
  <si>
    <t>Chengxin体系控股</t>
  </si>
  <si>
    <t>产品供给中国锂盐企业</t>
  </si>
  <si>
    <t>税费、就业、出口限制驱动中游本地化</t>
  </si>
  <si>
    <t>价值主要流向中国锂盐企业和矿山股东；津巴布韦通过政策寻求提高本地留存</t>
  </si>
  <si>
    <t>公司新闻/行业报道</t>
  </si>
  <si>
    <t>https://en.cxlithium.com/news/115.html ; https://www.hudsonresource.com/article/24.html</t>
  </si>
  <si>
    <t>需用公司年报核对年产能口径</t>
  </si>
  <si>
    <t>Zulu Lithium and Tantalum Project</t>
  </si>
  <si>
    <t>锂、钽</t>
  </si>
  <si>
    <t>试产/爬坡</t>
  </si>
  <si>
    <t>CRU称项目与Canmax签订48 kt/年锂辉石精矿包销协议</t>
  </si>
  <si>
    <t>资源量需从Premier African Minerals技术文件补入</t>
  </si>
  <si>
    <t>Premier African Minerals / Canmax</t>
  </si>
  <si>
    <t>Premier African Minerals主导；Canmax包销/预付款关联</t>
  </si>
  <si>
    <t>英国/中国/津巴布韦</t>
  </si>
  <si>
    <t>中国锂盐企业包销锂精矿</t>
  </si>
  <si>
    <t>税费、就业；项目爬坡表现决定本地收益</t>
  </si>
  <si>
    <t>控制权在英国上市公司，产品价值通过中国包销进入锂化工链</t>
  </si>
  <si>
    <t>行业报道</t>
  </si>
  <si>
    <t>https://www.crugroup.com/en/communities/thought-leadership/2023/zimbabwe-s-developing-lithium-industry-is-shifting-the-market-balance/</t>
  </si>
  <si>
    <t>需核查最新试产和包销履约</t>
  </si>
  <si>
    <t>Goulamina Lithium Project</t>
  </si>
  <si>
    <t>马里</t>
  </si>
  <si>
    <t>投产/权益重组</t>
  </si>
  <si>
    <t>2025年报道Ganfeng收购Leo剩余40%权益；马里协议下政府/本地持股提升（报道口径30%政府、5%本地）</t>
  </si>
  <si>
    <t>大型锂辉石资源；资源量需从Leo/Ganfeng DFS补入</t>
  </si>
  <si>
    <t>Ganfeng Lithium / Mali Lithium</t>
  </si>
  <si>
    <t>Ganfeng控制运营；马里政府和本地投资者按新矿法分享权益</t>
  </si>
  <si>
    <t>中国/马里</t>
  </si>
  <si>
    <t>Ganfeng包销和锂化工能力强，Stage 1历史披露100%包销给Ganfeng</t>
  </si>
  <si>
    <t>国家股权、矿业税费、本地参股、就业</t>
  </si>
  <si>
    <t>矿山现金流和中游锂盐利润大概率流向Ganfeng；马里通过新矿法提高股权与财政截留</t>
  </si>
  <si>
    <t>新闻/项目材料</t>
  </si>
  <si>
    <t>https://www.argusmedia.com/en/news-and-insights/latest-market-news/2706905-china-s-ganfeng-takes-full-control-of-mali-lithium ; https://www.reuters.com/markets/commodities/mali-signs-agreement-with-chinas-ganfeng-operate-goulamina-lithium-mine-2024-05-17/</t>
  </si>
  <si>
    <t>需确认最终公司注册结构</t>
  </si>
  <si>
    <t>Balama Graphite Operation</t>
  </si>
  <si>
    <t>莫桑比克</t>
  </si>
  <si>
    <t>天然石墨</t>
  </si>
  <si>
    <t>采矿-选矿/美国负极材料联动</t>
  </si>
  <si>
    <t>在产/受扰动</t>
  </si>
  <si>
    <t>Syrah 2025年报称Balama石墨产量67 kt、矿石储量110 Mt</t>
  </si>
  <si>
    <t>矿石储量110 Mt（公司2025年报口径）</t>
  </si>
  <si>
    <t>Syrah Resources</t>
  </si>
  <si>
    <t>Syrah Resources控股</t>
  </si>
  <si>
    <t>澳大利亚/莫桑比克/美国融资</t>
  </si>
  <si>
    <t>Vidalia美国负极材料项目；POSCO Future M六年包销；美国DFC/DOE资金关联</t>
  </si>
  <si>
    <t>税费、就业；本地加工较有限，战略融资来自美国</t>
  </si>
  <si>
    <t>矿山端利润流向澳大利亚股东；深加工利润转向美国/韩国电池材料链，莫桑比克多为采选与税费收益</t>
  </si>
  <si>
    <t>公司年报/公司官网/新闻</t>
  </si>
  <si>
    <t>https://www.listcorp.com/asx/syr/syrah-resources-limited/news/2025-annual-report-3332749.html ; https://www.syrahresources.com.au/our-business/balama-graphite-operation ; https://www.reuters.com/markets/commodities/australias-syrah-resources-inks-offtake-deal-with-s-koreas-posco-future-m-2024-02-29/</t>
  </si>
  <si>
    <t>需关注安全/政治扰动导致停产风险</t>
  </si>
  <si>
    <t>DH Mining Niassa Graphite Processing Plant</t>
  </si>
  <si>
    <t>加工-选矿/深加工</t>
  </si>
  <si>
    <t>在产/新投产</t>
  </si>
  <si>
    <t>2026年莫桑比克总统为中资200 kt/年石墨加工厂揭幕；投资约2亿美元</t>
  </si>
  <si>
    <t>需补充对应矿山资源量</t>
  </si>
  <si>
    <t>DH Mining</t>
  </si>
  <si>
    <t>中国企业运营</t>
  </si>
  <si>
    <t>中国/莫桑比克</t>
  </si>
  <si>
    <t>在莫桑比克北部形成加工环节，产品出口面向全球/中国供应链</t>
  </si>
  <si>
    <t>本地就业、加工产值、税费；可能提升本地留存</t>
  </si>
  <si>
    <t>相较纯采矿，更多加工价值留在莫桑比克，但控制权和市场收益仍主要在中国企业</t>
  </si>
  <si>
    <t>https://www.reuters.com/business/energy/mozambiques-president-opens-chinese-owned-graphite-processing-plant-2026-01-30/</t>
  </si>
  <si>
    <t>需补充矿石来源、产品规格、股权结构</t>
  </si>
  <si>
    <t>Molo Graphite Mine</t>
  </si>
  <si>
    <t>马达加斯加</t>
  </si>
  <si>
    <t>采矿-选矿/拟建负极材料</t>
  </si>
  <si>
    <t>现有Phase 1产能约17 kt/年；FS拟扩至150 kt/年SuperFlake石墨精矿</t>
  </si>
  <si>
    <t>大型高品位资源；具体资源量需从NI 43-101补入</t>
  </si>
  <si>
    <t>NextSource Materials</t>
  </si>
  <si>
    <t>NextSource 100%持有</t>
  </si>
  <si>
    <t>加拿大/马达加斯加/阿联酋</t>
  </si>
  <si>
    <t>计划在阿联酋建设首个电池负极材料设施</t>
  </si>
  <si>
    <t>税费、就业、电力/社区项目</t>
  </si>
  <si>
    <t>采选利润流向加拿大股东；负极材料价值计划在阿联酋捕获，马达加斯加主要留在上游</t>
  </si>
  <si>
    <t>公司官网/投资组合</t>
  </si>
  <si>
    <t>https://www.nextsourcematerials.com/assets/molo-graphite-mine/ ; https://www.vision-blue.com/portfolio/nextsource-materials/</t>
  </si>
  <si>
    <t>需补充2025实际产量</t>
  </si>
  <si>
    <t>Lindi Jumbo Graphite Project</t>
  </si>
  <si>
    <t>坦桑尼亚</t>
  </si>
  <si>
    <t>在产/爬坡</t>
  </si>
  <si>
    <t>MiningDataOnline称2025年Lindi Jumbo达到年石墨产能；项目公司持100%采矿许可证</t>
  </si>
  <si>
    <t>资源量需从Walkabout DFS补入</t>
  </si>
  <si>
    <t>Walkabout Resources / Lindi Jumbo Ltd</t>
  </si>
  <si>
    <t>Walkabout间接100%控股Lindi Jumbo Ltd</t>
  </si>
  <si>
    <t>澳大利亚/坦桑尼亚</t>
  </si>
  <si>
    <t>产品面向耐火材料、电池等市场；销售订单需更新</t>
  </si>
  <si>
    <t>税费、就业、本地公司运营</t>
  </si>
  <si>
    <t>项目控制和利润主要流向澳大利亚上市公司；坦桑尼亚通过许可证、税费和就业分享</t>
  </si>
  <si>
    <t>项目官网/矿山数据库</t>
  </si>
  <si>
    <t>https://lindijumbo.co.tz/index.php/lindi-jumbo-graphite-project/ ; https://miningdataonline.com/property/4665/Lindi-Jumbo-Mine.aspx</t>
  </si>
  <si>
    <t>需核查实际商业销售和产量</t>
  </si>
  <si>
    <t>Mahenge Graphite Project</t>
  </si>
  <si>
    <t>开发/FID前</t>
  </si>
  <si>
    <t>模块一目标产量约89 kt/年，初始矿山寿命26年；目标FID 2026、首产2028（媒体报道）</t>
  </si>
  <si>
    <t>高品位长寿命资源；具体资源量需从Black Rock报告补入</t>
  </si>
  <si>
    <t>Black Rock Mining / POSCO Future M</t>
  </si>
  <si>
    <t>Black Rock主导，POSCO拟增持至最高19.9%并锁定包销</t>
  </si>
  <si>
    <t>澳大利亚/韩国/坦桑尼亚</t>
  </si>
  <si>
    <t>POSCO长期包销进入韩国电池材料链</t>
  </si>
  <si>
    <t>税费、就业、未来本地公司权益安排</t>
  </si>
  <si>
    <t>未来价值大概率由澳洲开发商与韩国电池材料企业分享，坦桑尼亚位于采选端</t>
  </si>
  <si>
    <t>https://www.theaustralian.com.au/business/dataroom/posco-doubles-down-on-black-rock-minings-graphite-project/news-story/fb4c75196af89749a97358cdc3444c5e</t>
  </si>
  <si>
    <t>需用公司公告替代媒体来源</t>
  </si>
  <si>
    <t>Lofdal Heavy Rare Earth Project</t>
  </si>
  <si>
    <t>纳米比亚</t>
  </si>
  <si>
    <t>重稀土（Dy/Tb/Y）</t>
  </si>
  <si>
    <t>勘探-开发</t>
  </si>
  <si>
    <t>高级开发/PFS</t>
  </si>
  <si>
    <t>公司披露2025年12月PFS亮点；JOGMEC/Toyota Tsusho支持</t>
  </si>
  <si>
    <t>43-101资源2012、2021更新；具体吨位需补录</t>
  </si>
  <si>
    <t>Namibia Critical Metals / JOGMEC / Toyota Tsusho</t>
  </si>
  <si>
    <t>JOGMEC已取得约40%项目权益，并可进一步投资；NMI保留权益</t>
  </si>
  <si>
    <t>加拿大/日本/纳米比亚</t>
  </si>
  <si>
    <t>面向日本永磁材料供应链</t>
  </si>
  <si>
    <t>本地许可、税费、就业；若未来本地处理有限，则捕获偏低</t>
  </si>
  <si>
    <t>核心价值流向日本供应链安全和加拿大股东；纳米比亚主要通过资源主权和项目税费分享</t>
  </si>
  <si>
    <t>https://www.namibiacriticalmetals.com/projects/lofdal-heavy-rare-earths-project ; https://theextractormagazine.com/2025/02/04/japanese-agency-now-owns-40-in-lofdal-heavy-rare-earth-elements-project/</t>
  </si>
  <si>
    <t>需补充PFS中CAPEX/OPEX和产量</t>
  </si>
  <si>
    <t>Songwe Hill Rare Earth Project</t>
  </si>
  <si>
    <t>马拉维</t>
  </si>
  <si>
    <t>稀土</t>
  </si>
  <si>
    <t>采矿-拟分离</t>
  </si>
  <si>
    <t>高级开发/DFS更新</t>
  </si>
  <si>
    <t>Mkango 2026年发布Songwe更新DFS，并披露拟建波兰Puławy稀土分离厂PFS</t>
  </si>
  <si>
    <t>资源量需从2026 DFS/NI 43-101补录</t>
  </si>
  <si>
    <t>Mkango Resources / Lancaster Exploration Malawi</t>
  </si>
  <si>
    <t>Mkango间接100%持有；获DFC/EU战略项目支持</t>
  </si>
  <si>
    <t>加拿大/英国/美国/EU/马拉维</t>
  </si>
  <si>
    <t>分离厂拟设在波兰，进入欧洲磁材供应链</t>
  </si>
  <si>
    <t>税费、就业、许可；分离环节不在马拉维则本地中游价值有限</t>
  </si>
  <si>
    <t>采矿价值在马拉维，关键分离与化学利润转向欧洲；融资收益与股权收益流向加拿大/英国资本市场</t>
  </si>
  <si>
    <t>公司新闻/矿山数据库</t>
  </si>
  <si>
    <t>https://mkango.ca/news/mkango-announces-results-of-updated-feasibility-study-for-the-songwe-hill-rare-earths-project-in-malawi-and-pre-feasibility/ ; https://miningdataonline.com/property/4657/Songwe-Hill-Project.aspx</t>
  </si>
  <si>
    <t>需下载DFS补充资源和经济性</t>
  </si>
  <si>
    <t>Ngualla Rare Earth Project</t>
  </si>
  <si>
    <t>开发/并购后</t>
  </si>
  <si>
    <t>2025年Shenghe对Peak Rare Earths收购生效，Peak于2025年10月退市；此前Tanzanian政府16%不可稀释权益</t>
  </si>
  <si>
    <t>BFS披露高品位长寿命REO资源；具体资源量需补录</t>
  </si>
  <si>
    <t>Peak Rare Earths / Shenghe Resources / Ngualla Group UK</t>
  </si>
  <si>
    <t>Shenghe收购Peak；坦桑尼亚政府16%权益</t>
  </si>
  <si>
    <t>中国/澳大利亚/坦桑尼亚</t>
  </si>
  <si>
    <t>原计划英国Teesside分离，收购后需观察是否转向中国分离体系</t>
  </si>
  <si>
    <t>政府16%权益、税费、就业、谈判权</t>
  </si>
  <si>
    <t>项目从“西方替代中国稀土链”转向中资控制，分离和磁材利润大概率向中国稀土体系集中</t>
  </si>
  <si>
    <t>矿山数据库/新闻/公告</t>
  </si>
  <si>
    <t>https://www.miningdataonline.com/property/4746/Ngualla-Project.aspx ; https://www.reuters.com/markets/deals/chinas-shenghe-acquire-half-peak-rare-earths-tanzania-project-2024-07-24/</t>
  </si>
  <si>
    <t>需跟踪Shenghe并购后技术路线</t>
  </si>
  <si>
    <t>Steenkampskraal Rare Earth Mine</t>
  </si>
  <si>
    <t>南非</t>
  </si>
  <si>
    <t>稀土/钍伴生</t>
  </si>
  <si>
    <t>采矿-冶金实施</t>
  </si>
  <si>
    <t>重启/建设</t>
  </si>
  <si>
    <t>公司称BMI入股并推动2024/2025重启；IDC 2025年释放Phase 1冶金实施资金</t>
  </si>
  <si>
    <t>NI 43-101资源/储量报告；公司称高品位单矿体，具体吨位需补录</t>
  </si>
  <si>
    <t>Steenkampskraal Monazite Mine / Bora Mining Investments / IDC</t>
  </si>
  <si>
    <t>BMI战略入股；南非IDC融资支持</t>
  </si>
  <si>
    <t>南非/南非国家开发金融</t>
  </si>
  <si>
    <t>可能发展本地冶金处理，涉及放射性/钍治理</t>
  </si>
  <si>
    <t>本土资本、IDC融资、就业、潜在本地冶金利润</t>
  </si>
  <si>
    <t>相对少见的本土捕获案例：若冶金环节本地化，南非可获得比单纯采矿更高价值</t>
  </si>
  <si>
    <t>https://www.steenkampskraal.com/ ; https://africanminingmarket.com/idc-funding-released-for-metallurgical-phase-of-steenkampskraal-rare-earths-project/23666/</t>
  </si>
  <si>
    <t>需核查BMI股权比例和产量计划</t>
  </si>
  <si>
    <t>Moanda / Comilog</t>
  </si>
  <si>
    <t>加蓬</t>
  </si>
  <si>
    <t>锰</t>
  </si>
  <si>
    <t>采矿-烧结/合金</t>
  </si>
  <si>
    <t>在产/本地加工政策转向</t>
  </si>
  <si>
    <t>Eramet披露2025年锰矿和烧结矿产量7.1 Mt，锰合金产量653 kt；加蓬计划2029年禁运未加工锰矿</t>
  </si>
  <si>
    <t>世界级高品位锰矿；资源量需从Eramet URD补录</t>
  </si>
  <si>
    <t>Comilog / Eramet</t>
  </si>
  <si>
    <t>Eramet控股，Gabonese State/国有资本参与</t>
  </si>
  <si>
    <t>法国/加蓬</t>
  </si>
  <si>
    <t>锰矿大量出口服务钢铁链；本地Moanda冶金/合金环节扩张压力上升</t>
  </si>
  <si>
    <t>国家股权/税费/就业/本地合金厂；2029禁令提高议价</t>
  </si>
  <si>
    <t>传统上利润在法国矿业集团和全球钢铁链；加蓬通过加工禁令试图截留中游价值</t>
  </si>
  <si>
    <t>https://www.eramet.com/en/activities/products/manganese/ ; https://www.reuters.com/world/africa/frances-eramet-says-it-will-work-with-gabon-despite-manganese-export-ban-2025-06-02/</t>
  </si>
  <si>
    <t>需补充Comilog净利润和加蓬政府持股</t>
  </si>
  <si>
    <t>Tshipi Borwa Mine</t>
  </si>
  <si>
    <t>采矿-出口</t>
  </si>
  <si>
    <t>Jupiter 2025年报称Tshipi资源量418 Mt、储量61 Mt；Jupiter 49.9%份额利润42.5百万美元</t>
  </si>
  <si>
    <t>资源量418 Mt；储量61 Mt（截至2016口径，年报延续）</t>
  </si>
  <si>
    <t>Tshipi é Ntle / Jupiter Mines / Ntsimbintle</t>
  </si>
  <si>
    <t>Jupiter约49.9%，Ntsimbintle主导持股</t>
  </si>
  <si>
    <t>澳大利亚/南非</t>
  </si>
  <si>
    <t>锰矿出口至全球钢铁供应链</t>
  </si>
  <si>
    <t>南非本土公司权益、税费、就业、物流</t>
  </si>
  <si>
    <t>比多数项目更具本土资本参与，但出口端和钢铁终端价值仍多在境外</t>
  </si>
  <si>
    <t>公司年报</t>
  </si>
  <si>
    <t>https://www.jupitermines.com/cproot/1310/3/20250926-Jupiter-Mines-2025-Annual-Report.pdf</t>
  </si>
  <si>
    <t>需补充2025销量/价格</t>
  </si>
  <si>
    <t>Hotazel Manganese Mines (Mamatwan/Wessels)</t>
  </si>
  <si>
    <t>采矿-出口/合金关联</t>
  </si>
  <si>
    <t>South32持HMM财团44.4%权益；2025南非锰产量受维护/停工影响</t>
  </si>
  <si>
    <t>资源量需从South32资源储量报告补录</t>
  </si>
  <si>
    <t>South32 / HMM consortium / Anglo American等</t>
  </si>
  <si>
    <t>South32 44.4%，其余由Anglo American和Broad-Based BEE实体等持有</t>
  </si>
  <si>
    <t>澳大利亚/英国/南非</t>
  </si>
  <si>
    <t>锰矿服务全球钢铁链</t>
  </si>
  <si>
    <t>BEE股权、税费、就业、本地物流和可能的合金环节</t>
  </si>
  <si>
    <t>外资矿商仍有重要利润份额，但南非通过BEE与成熟冶炼/物流体系截留较多价值</t>
  </si>
  <si>
    <t>https://www.south32.net/what-we-do/our-locations/southern-africa/south-africa-manganese ; https://www.reuters.com/markets/commodities/australias-south32-posts-lower-third-quarter-manganese-output-2025-04-16/</t>
  </si>
  <si>
    <t>需补充HMM矿山级利润</t>
  </si>
  <si>
    <t>Mogalakwena / Amandelbult等PGM资产</t>
  </si>
  <si>
    <t>铂族金属（Pt/Pd/Rh等）</t>
  </si>
  <si>
    <t>采矿-冶炼-精炼</t>
  </si>
  <si>
    <t>Valterra 2025 H1自有矿山PGM产量926,100 oz，受Amandelbult洪水影响；2025年独立上市后运营</t>
  </si>
  <si>
    <t>资源/储量需从Valterra报告补录</t>
  </si>
  <si>
    <t>Valterra Platinum（原Anglo American Platinum）</t>
  </si>
  <si>
    <t>Valterra独立上市，Anglo American保留阶段性持股</t>
  </si>
  <si>
    <t>南非/英国资本市场</t>
  </si>
  <si>
    <t>汽车催化剂、氢能/燃料电池；南非具备较完整PGM冶炼精炼能力</t>
  </si>
  <si>
    <t>税费、就业、本地冶炼精炼、上市公司本土资本市场</t>
  </si>
  <si>
    <t>相较锂/钴/石墨，南非在PGM中游捕获更强；但终端汽车/氢能应用利润仍在欧美日中制造链</t>
  </si>
  <si>
    <t>公司披露/新闻</t>
  </si>
  <si>
    <t>https://www.valterraplatinum.com/investors/financial-results-centre ; https://www.londonstockexchange.com/news-article/VALT/results-for-the-six-months-ended-30-june-2025/17153629</t>
  </si>
  <si>
    <t>需拆分矿山和精炼利润</t>
  </si>
  <si>
    <t>Impala Rustenburg / Zimplats等PGM资产</t>
  </si>
  <si>
    <t>南非/津巴布韦</t>
  </si>
  <si>
    <t>铂族金属</t>
  </si>
  <si>
    <t>Implats 2025年报称其围绕7个采矿运营、精炼/加工设施和Impala Refining Services组织</t>
  </si>
  <si>
    <t>资源/储量需从Implats报告补录</t>
  </si>
  <si>
    <t>Impala Platinum Holdings</t>
  </si>
  <si>
    <t>南非上市公司主导</t>
  </si>
  <si>
    <t>Impala Refining Services捕获加工利润</t>
  </si>
  <si>
    <t>南非本土上市公司、税费、就业、加工环节</t>
  </si>
  <si>
    <t>本地/区域资本对价值捕获高于外资控股矿；但终端需求利润仍外部化</t>
  </si>
  <si>
    <t>https://www.implats-ir.co.za/reports/implats-iar-2025/organisational-overview.php</t>
  </si>
  <si>
    <t>需补充各矿山产量</t>
  </si>
  <si>
    <t>Ambatovy Nickel-Cobalt</t>
  </si>
  <si>
    <t>镍、钴</t>
  </si>
  <si>
    <t>采矿-HPAL精炼</t>
  </si>
  <si>
    <t>在产/复产后承压</t>
  </si>
  <si>
    <t>名义产能60 kt/年镍、5.6 kt/年钴；2024财年上半年镍产量约10 kt并撤回产量展望</t>
  </si>
  <si>
    <t>资源量需从Ambatovy技术资料补入</t>
  </si>
  <si>
    <t>Ambatovy Minerals / Dynatec Madagascar / Sumitomo / KOMIR</t>
  </si>
  <si>
    <t>Sumitomo约54.2%，KOMIR约45.8%</t>
  </si>
  <si>
    <t>日本/韩国/马达加斯加</t>
  </si>
  <si>
    <t>HPAL加工一体化，产品进入亚洲电池/不锈钢链</t>
  </si>
  <si>
    <t>税费、就业、本地加工设施；但盈利波动大</t>
  </si>
  <si>
    <t>较高加工环节在马达加斯加本地，但所有权和销售收益主要流向日韩股东</t>
  </si>
  <si>
    <t>https://ambatovy.com/en/who-we-are/about-us/ ; https://www.sumitomocorp.com/en/jp/news/release/2014/group/20140123 ; https://www.reuters.com/markets/asia/sumitomo-corp-h1-net-profit-down-11-254-bln-yen-2024-10-31/</t>
  </si>
  <si>
    <t>需更新2025/2026恢复产量</t>
  </si>
  <si>
    <t>Husab Uranium Mine</t>
  </si>
  <si>
    <t>铀</t>
  </si>
  <si>
    <t>采矿-铀氧化物</t>
  </si>
  <si>
    <t>Swakop Uranium为Husab矿业主；世界核协会披露股权结构</t>
  </si>
  <si>
    <t>资源量/产量需从年度报告/世界核协会补录</t>
  </si>
  <si>
    <t>Swakop Uranium / Taurus Minerals / Epangelo</t>
  </si>
  <si>
    <t>Taurus Minerals 90%，Epangelo 10%；Taurus由CGN-URC 60%和中非基金40%持有</t>
  </si>
  <si>
    <t>中国/纳米比亚</t>
  </si>
  <si>
    <t>铀产品服务核燃料链；CGN Global Uranium负责销售/市场</t>
  </si>
  <si>
    <t>国家10%股权、税费、就业、战略关系</t>
  </si>
  <si>
    <t>矿山控制和核燃料战略价值主要流向中国核电供应链，纳米比亚获得股权和财政收益</t>
  </si>
  <si>
    <t>公司/行业协会</t>
  </si>
  <si>
    <t>https://www.swakopuranium.com/ ; https://world-nuclear.org/information-library/country-profiles/countries-g-n/namibia</t>
  </si>
  <si>
    <t>需补充2025 U3O8产量</t>
  </si>
  <si>
    <t>Rössing Uranium Mine</t>
  </si>
  <si>
    <t>Rössing称其为全球最大露天铀矿之一，供应全球核工业</t>
  </si>
  <si>
    <t>资源量/产量需从Rössing年报补录</t>
  </si>
  <si>
    <t>Rössing Uranium</t>
  </si>
  <si>
    <t>Rio Tinto已退出；中资与其他股东结构需最新年报核实</t>
  </si>
  <si>
    <t>中国/纳米比亚/伊朗等历史权益</t>
  </si>
  <si>
    <t>铀产品进入全球核燃料链</t>
  </si>
  <si>
    <t>税费、就业、供应商、本地基金会</t>
  </si>
  <si>
    <t>战略矿产价值经海外股东与核燃料客户捕获，纳米比亚通过税费与部分股权参与</t>
  </si>
  <si>
    <t>https://www.rossing.com/</t>
  </si>
  <si>
    <t>需更新最新股权和产量</t>
  </si>
  <si>
    <t>Dasa Uranium Project</t>
  </si>
  <si>
    <t>尼日尔</t>
  </si>
  <si>
    <t>采矿-建设</t>
  </si>
  <si>
    <t>建设/融资中</t>
  </si>
  <si>
    <t>Global Atomic称Dasa为高品位大型铀矿；项目融资与2026投产时间表受尼日尔政治环境影响</t>
  </si>
  <si>
    <t>资源量需从Dasa技术报告补录</t>
  </si>
  <si>
    <t>Global Atomic / SOMIDA</t>
  </si>
  <si>
    <t>Global Atomic主导，尼日尔政府参股安排需核实</t>
  </si>
  <si>
    <t>加拿大/尼日尔</t>
  </si>
  <si>
    <t>面向美国/欧洲核电客户的供应多元化</t>
  </si>
  <si>
    <t>国家参股、税费、就业；军政府资源民族主义提高谈判权</t>
  </si>
  <si>
    <t>若投产，矿山利润流向加拿大上市公司与尼日尔国家；核燃料转化/浓缩高价值在境外</t>
  </si>
  <si>
    <t>公司官网/行业新闻</t>
  </si>
  <si>
    <t>https://www.globalatomiccorp.com/Operations/Uranium/Dasa-Project/ ; https://www.nucnet.org/news/bank-reviews-funding-as-global-atomic-waits-for-key-decision-on-dasa-uranium-project-in-niger-12-3-2025</t>
  </si>
  <si>
    <t>需跟踪融资关闭和投产日期</t>
  </si>
  <si>
    <t>Rutongo/Musha/Nyakabingo（Trinity Metals）</t>
  </si>
  <si>
    <t>卢旺达</t>
  </si>
  <si>
    <t>锡、钨、钽（3T）</t>
  </si>
  <si>
    <t>采矿-选矿/精炼潜力</t>
  </si>
  <si>
    <t>在产/扩张</t>
  </si>
  <si>
    <t>RDB称卢旺达每年生产约8,000–9,000吨3T矿物；卢旺达为全球重要钽生产国</t>
  </si>
  <si>
    <t>各矿资源量需从Trinity技术文件补入</t>
  </si>
  <si>
    <t>Trinity Metals / TechMet</t>
  </si>
  <si>
    <t>由Piran Rwanda、Eurotrade、Rutongo Mines等整合成立，TechMet支持</t>
  </si>
  <si>
    <t>卢旺达/美国-爱尔兰资本/国际开发金融</t>
  </si>
  <si>
    <t>美国DFC/TechMet供应链安全；钨/钽进入电子与国防链</t>
  </si>
  <si>
    <t>本地企业整合、就业、税费、区域加工中心战略</t>
  </si>
  <si>
    <t>卢旺达试图从冲突矿标签转向合规工业矿；价值可能在本地采选与部分精炼截留，但终端电子利润仍外流</t>
  </si>
  <si>
    <t>公司官网/政府网站/行业协会</t>
  </si>
  <si>
    <t>https://trinity-metals.com/ ; https://rdb.rw/investment-opportunities/mining/ ; https://www.rmb.gov.rw/updates/news-detail/rwandas-critical-minerals-for-the-green-transition</t>
  </si>
  <si>
    <t>需注意跨境矿物流与可追溯性争议</t>
  </si>
  <si>
    <t>Bisie Tin Mine (Alphamin)</t>
  </si>
  <si>
    <t>锡</t>
  </si>
  <si>
    <t>在产/安全扰动</t>
  </si>
  <si>
    <t>2025年安全因素导致指引下调至约17.5 kt锡；IRH拟以约3.67亿美元收购Alphamin 56%</t>
  </si>
  <si>
    <t>高品位锡矿；资源量需从Alphamin技术报告补录</t>
  </si>
  <si>
    <t>Alphamin Resources / IRH</t>
  </si>
  <si>
    <t>IRH拟获56%控股；交易需核实完成状态</t>
  </si>
  <si>
    <t>阿联酋/加拿大/刚果（金）</t>
  </si>
  <si>
    <t>锡进入电子焊料/半导体供应链，IRH可能获得贸易权</t>
  </si>
  <si>
    <t>税费、就业、地方安全治理；东部冲突风险高</t>
  </si>
  <si>
    <t>价值从加拿大/私募资本转向阿联酋主权关联资本；DRC仍以税费和就业为主</t>
  </si>
  <si>
    <t>公司新闻/行业新闻</t>
  </si>
  <si>
    <t>https://www.alphaminresources.com/2025/04/09/alphamin-announces-decision-to-resume-mining-operations/ ; https://www.internationaltin.org/irh-buys-majority-stake-in-alphamin/</t>
  </si>
  <si>
    <t>需核查交易交割与产量恢复</t>
  </si>
  <si>
    <t>公司/机构</t>
  </si>
  <si>
    <t>涉及项目</t>
  </si>
  <si>
    <t>价值链角色</t>
  </si>
  <si>
    <t>可能捕获的价值类型</t>
  </si>
  <si>
    <t>关键披露/网站</t>
  </si>
  <si>
    <t>CMOC</t>
  </si>
  <si>
    <t>中国</t>
  </si>
  <si>
    <t>TFM, KFM</t>
  </si>
  <si>
    <t>矿山控股、湿法冶金、全球销售</t>
  </si>
  <si>
    <t>矿山利润、钴/铜销售利润、扩产资本收益</t>
  </si>
  <si>
    <t>https://en.cmoc.com/html/Business/Congo-Cu-Co/</t>
  </si>
  <si>
    <t>Zijin Mining</t>
  </si>
  <si>
    <t>Kamoa-Kakula</t>
  </si>
  <si>
    <t>矿山股权、技术/资本支持</t>
  </si>
  <si>
    <t>股权收益、铜供应安全</t>
  </si>
  <si>
    <t>https://www.zijinmining.com/global/program-detail-71734.htm</t>
  </si>
  <si>
    <t>Ivanhoe Mines</t>
  </si>
  <si>
    <t>加拿大</t>
  </si>
  <si>
    <t>Kamoa-Kakula, Kipushi</t>
  </si>
  <si>
    <t>开发商/运营股东</t>
  </si>
  <si>
    <t>股权收益、项目开发溢价</t>
  </si>
  <si>
    <t>https://www.ivanhoemines.com/</t>
  </si>
  <si>
    <t>Glencore</t>
  </si>
  <si>
    <t>瑞士</t>
  </si>
  <si>
    <t>KCC, Mutanda</t>
  </si>
  <si>
    <t>矿山运营、商品贸易</t>
  </si>
  <si>
    <t>矿山利润、营销/贸易利润</t>
  </si>
  <si>
    <t>https://www.glencore.com/</t>
  </si>
  <si>
    <t>ERG</t>
  </si>
  <si>
    <t>哈萨克斯坦/卢森堡</t>
  </si>
  <si>
    <t>尾矿再处理、湿法冶金</t>
  </si>
  <si>
    <t>钴/铜销售利润、循环经济叙事价值</t>
  </si>
  <si>
    <t>https://www.ergafrica.com/cobalt-copper-division/metalkol-rtr/</t>
  </si>
  <si>
    <t>Kansanshi, Sentinel</t>
  </si>
  <si>
    <t>铜矿运营</t>
  </si>
  <si>
    <t>矿山利润、项目扩产收益</t>
  </si>
  <si>
    <t>https://www.first-quantum.com/</t>
  </si>
  <si>
    <t>IRH</t>
  </si>
  <si>
    <t>阿联酋</t>
  </si>
  <si>
    <t>Mopani, Alphamin/Bisie</t>
  </si>
  <si>
    <t>战略矿产投资、运营、贸易</t>
  </si>
  <si>
    <t>股权收益、贸易权、供应安全</t>
  </si>
  <si>
    <t>https://www.irh.ae/assets/</t>
  </si>
  <si>
    <t>Vedanta Resources/CopperTech</t>
  </si>
  <si>
    <t>印度/美国架构</t>
  </si>
  <si>
    <t>KCM</t>
  </si>
  <si>
    <t>矿山运营、融资平台</t>
  </si>
  <si>
    <t>矿山利润、美国资本市场融资收益</t>
  </si>
  <si>
    <t>https://kcm.co.zm/</t>
  </si>
  <si>
    <t>Huayou Cobalt</t>
  </si>
  <si>
    <t>Arcadia</t>
  </si>
  <si>
    <t>锂矿控股、锂材料链</t>
  </si>
  <si>
    <t>锂精矿/硫酸锂/材料链利润</t>
  </si>
  <si>
    <t>https://www.huayou.com/</t>
  </si>
  <si>
    <t>Sinomine</t>
  </si>
  <si>
    <t>Bikita</t>
  </si>
  <si>
    <t>锂矿控股、计划中游加工</t>
  </si>
  <si>
    <t>锂精矿和硫酸锂利润</t>
  </si>
  <si>
    <t>https://en.sinomine.cn/</t>
  </si>
  <si>
    <t>Chengxin Lithium</t>
  </si>
  <si>
    <t>Sabi Star</t>
  </si>
  <si>
    <t>锂矿控股、锂盐链</t>
  </si>
  <si>
    <t>锂精矿/锂盐利润</t>
  </si>
  <si>
    <t>https://en.cxlithium.com/</t>
  </si>
  <si>
    <t>Ganfeng Lithium</t>
  </si>
  <si>
    <t>Goulamina</t>
  </si>
  <si>
    <t>矿山控股、包销、锂化工</t>
  </si>
  <si>
    <t>锂精矿与锂化学品利润</t>
  </si>
  <si>
    <t>https://www.ganfenglithium.com/</t>
  </si>
  <si>
    <t>澳大利亚</t>
  </si>
  <si>
    <t>Balama, Vidalia</t>
  </si>
  <si>
    <t>石墨采选、美国负极材料</t>
  </si>
  <si>
    <t>矿山利润、负极材料利润</t>
  </si>
  <si>
    <t>https://www.syrahresources.com.au/</t>
  </si>
  <si>
    <t>Molo</t>
  </si>
  <si>
    <t>石墨采选、拟负极材料</t>
  </si>
  <si>
    <t>矿山利润、阿联酋负极材料利润</t>
  </si>
  <si>
    <t>https://www.nextsourcematerials.com/</t>
  </si>
  <si>
    <t>JOGMEC/Toyota Tsusho</t>
  </si>
  <si>
    <t>日本</t>
  </si>
  <si>
    <t>Lofdal</t>
  </si>
  <si>
    <t>战略股权、包销/供应链安全</t>
  </si>
  <si>
    <t>重稀土供应安全、长期采购价值</t>
  </si>
  <si>
    <t>https://www.namibiacriticalmetals.com/projects/lofdal-heavy-rare-earths-project</t>
  </si>
  <si>
    <t>Mkango Resources</t>
  </si>
  <si>
    <t>加拿大/英国</t>
  </si>
  <si>
    <t>Songwe Hill</t>
  </si>
  <si>
    <t>稀土开发、欧洲分离链</t>
  </si>
  <si>
    <t>矿山开发溢价、分离厂潜在利润</t>
  </si>
  <si>
    <t>https://mkango.ca/</t>
  </si>
  <si>
    <t>Shenghe Resources</t>
  </si>
  <si>
    <t>Ngualla</t>
  </si>
  <si>
    <t>稀土矿山并购/潜在分离链</t>
  </si>
  <si>
    <t>矿山控制、稀土分离/贸易利润</t>
  </si>
  <si>
    <t>https://www.miningdataonline.com/property/4746/Ngualla-Project.aspx</t>
  </si>
  <si>
    <t>Eramet/Comilog</t>
  </si>
  <si>
    <t>Moanda</t>
  </si>
  <si>
    <t>锰矿、合金</t>
  </si>
  <si>
    <t>矿山利润、合金加工利润</t>
  </si>
  <si>
    <t>https://www.eramet.com/en/activities/products/manganese/</t>
  </si>
  <si>
    <t>Jupiter Mines/Ntsimbintle</t>
  </si>
  <si>
    <t>Tshipi Borwa</t>
  </si>
  <si>
    <t>锰矿运营</t>
  </si>
  <si>
    <t>矿山利润、本土BEE收益</t>
  </si>
  <si>
    <t>https://www.jupitermines.com/</t>
  </si>
  <si>
    <t>Valterra Platinum/Implats/Sibanye等</t>
  </si>
  <si>
    <t>南非PGM资产</t>
  </si>
  <si>
    <t>矿山与精炼利润、金融市场估值</t>
  </si>
  <si>
    <t>https://www.valterraplatinum.com/ ; https://www.implats-ir.co.za/ ; https://www.sibanyestillwater.com/</t>
  </si>
  <si>
    <t>Sumitomo/KOMIR</t>
  </si>
  <si>
    <t>日本/韩国</t>
  </si>
  <si>
    <t>Ambatovy</t>
  </si>
  <si>
    <t>镍钴HPAL一体化</t>
  </si>
  <si>
    <t>镍钴销售利润、亚洲供应链安全</t>
  </si>
  <si>
    <t>https://ambatovy.com/en/who-we-are/about-us/</t>
  </si>
  <si>
    <t>CGN/中非基金</t>
  </si>
  <si>
    <t>Husab</t>
  </si>
  <si>
    <t>铀矿控股、核燃料供应</t>
  </si>
  <si>
    <t>铀供应安全、矿山利润</t>
  </si>
  <si>
    <t>https://www.swakopuranium.com/</t>
  </si>
  <si>
    <t>Trinity Metals/TechMet</t>
  </si>
  <si>
    <t>卢旺达/国际资本</t>
  </si>
  <si>
    <t>Rutongo, Musha, Nyakabingo</t>
  </si>
  <si>
    <t>3T工业化矿业</t>
  </si>
  <si>
    <t>合规矿产溢价、国防/电子供应链准入</t>
  </si>
  <si>
    <t>https://trinity-metals.com/</t>
  </si>
  <si>
    <t>类别</t>
  </si>
  <si>
    <t>推荐来源</t>
  </si>
  <si>
    <t>用途</t>
  </si>
  <si>
    <t>网址</t>
  </si>
  <si>
    <t>全球矿种数据</t>
  </si>
  <si>
    <t>USGS Mineral Commodity Summaries</t>
  </si>
  <si>
    <t>按矿种核对国家产量、储量、价格趋势</t>
  </si>
  <si>
    <t>https://www.usgs.gov/centers/national-minerals-information-center/mineral-commodity-summaries</t>
  </si>
  <si>
    <t>价值链集中度</t>
  </si>
  <si>
    <t>IEA Global Critical Minerals Outlook 2025</t>
  </si>
  <si>
    <t>核对矿山、精炼、供需与集中度</t>
  </si>
  <si>
    <t>https://www.iea.org/reports/global-critical-minerals-outlook-2025</t>
  </si>
  <si>
    <t>价值添加理论</t>
  </si>
  <si>
    <t>UNCTAD Critical minerals, critical decisions</t>
  </si>
  <si>
    <t>支持“加工/精炼捕获更高价值”的论点</t>
  </si>
  <si>
    <t>https://unctad.org/publication/critical-minerals-critical-decisions-industrial-policy-energy-transition</t>
  </si>
  <si>
    <t>矿山项目资料</t>
  </si>
  <si>
    <t>MiningDataOnline / Major Mines &amp; Projects</t>
  </si>
  <si>
    <t>矿山级股权、产能、资源储量初筛</t>
  </si>
  <si>
    <t>https://miningdataonline.com/</t>
  </si>
  <si>
    <t>合同</t>
  </si>
  <si>
    <t>ResourceContracts</t>
  </si>
  <si>
    <t>矿业合同、股权、税费条款</t>
  </si>
  <si>
    <t>https://resourcecontracts.org/</t>
  </si>
  <si>
    <t>公司披露</t>
  </si>
  <si>
    <t>公司年报、技术报告、投资者公告</t>
  </si>
  <si>
    <t>获取产量、储量、CAPEX/OPEX、销售、风险</t>
  </si>
  <si>
    <t>各公司投资者关系页面</t>
  </si>
  <si>
    <t>财政收入</t>
  </si>
  <si>
    <t>EITI国家报告</t>
  </si>
  <si>
    <t>核对政府收入、税费、国企分红</t>
  </si>
  <si>
    <t>https://eiti.org/countries</t>
  </si>
  <si>
    <t>贸易流向</t>
  </si>
  <si>
    <t>UN Comtrade / ITC Trade Map</t>
  </si>
  <si>
    <t>用HS编码追踪精矿、中间品、金属出口去向</t>
  </si>
  <si>
    <t>https://comtradeplus.un.org/</t>
  </si>
  <si>
    <t>价格</t>
  </si>
  <si>
    <t>Fastmarkets / Benchmark / LME / S&amp;P Global</t>
  </si>
  <si>
    <t>计算价值增量和利润敏感性</t>
  </si>
  <si>
    <t>需订阅/公开摘要</t>
  </si>
  <si>
    <t>公司所有权</t>
  </si>
  <si>
    <t>Orbis / S&amp;P Capital IQ / Refinitiv</t>
  </si>
  <si>
    <t>追踪最终受益所有人、关联交易、股权链</t>
  </si>
  <si>
    <t>需订阅</t>
  </si>
  <si>
    <t>主题</t>
  </si>
  <si>
    <t>结论/判断</t>
  </si>
  <si>
    <t>支撑信息</t>
  </si>
  <si>
    <t>可用于论文的问题意识</t>
  </si>
  <si>
    <t>建议补充数据</t>
  </si>
  <si>
    <t>总体流向</t>
  </si>
  <si>
    <t>撒哈拉以南非洲多数关键矿产仍停留在采矿、选矿和少数初级湿法冶金环节；利润高地在精炼、化学品、负极/正极材料、磁材、贸易融资和终端制造。</t>
  </si>
  <si>
    <t>IEA称未来到2035年中国仍将供应超过60%的精炼锂和钴、约80%的电池级石墨和稀土；UNCTAD指出精炼品价格可达原料3–4倍。</t>
  </si>
  <si>
    <t>“资源在非洲，价值链权力在境外”不是单纯所有权问题，而是由中游技术、市场准入、融资和包销合同共同决定。</t>
  </si>
  <si>
    <t>按矿种补充矿石-精矿-中间品-化学品价格价差。</t>
  </si>
  <si>
    <t>中国资本</t>
  </si>
  <si>
    <t>在DRC铜钴、津巴布韦/马里锂、坦桑尼亚稀土、纳米比亚铀和莫桑比克石墨加工中，中国企业占据显著控制权。</t>
  </si>
  <si>
    <t>CMOC 2025年刚果业务铜钴产量大；Huayou/Sinomine/Chengxin/Ganfeng控制多处锂资产；Shenghe收购Ngualla；CGN控制Husab。</t>
  </si>
  <si>
    <t>中国不是只买矿，而是在“矿山股权+包销+加工能力+工程建设+政策性融资”组合中捕获价值。</t>
  </si>
  <si>
    <t>补充各公司关联交易、销售去向、包销协议和融资利率。</t>
  </si>
  <si>
    <t>西方/盟友资本</t>
  </si>
  <si>
    <t>美国、欧盟、日本、韩国、澳大利亚和加拿大更多以供应链安全、开发金融、包销、少数股权和境外分离/加工设施参与。</t>
  </si>
  <si>
    <t>Lofdal连接JOGMEC/Toyota；Songwe连接DFC/EU与波兰分离厂；Balama连接DFC/DOE、Vidalia和POSCO；Molo拟在UAE做负极材料。</t>
  </si>
  <si>
    <t>“去中国化”供应链往往未必让非洲本地化，而是把中游价值转移到盟友国家。</t>
  </si>
  <si>
    <t>比较中国链与西方链在本地加工、就业、税收、环境标准上的差异。</t>
  </si>
  <si>
    <t>资源民族主义</t>
  </si>
  <si>
    <t>DRC、津巴布韦、加蓬、马里、尼日尔等正在用出口禁令、配额、国家股权、审计和国有化提高议价。</t>
  </si>
  <si>
    <t>DRC钴出口禁令/配额；津巴布韦2027禁运锂精矿；加蓬2029禁运未加工锰；马里新矿法提高国家权益；尼日尔Somaïr国有化。</t>
  </si>
  <si>
    <t>这些政策是对“利润外流”的回应，但效果取决于电力、物流、技术、资本和市场。</t>
  </si>
  <si>
    <t>追踪政策实施后产量、投资推迟、加工厂落地与财政收入变化。</t>
  </si>
  <si>
    <t>非洲内部差异</t>
  </si>
  <si>
    <t>南非PGM和部分锰业、马达加斯加Ambatovy、DRC铜钴湿法冶金，比纯锂精矿/石墨精矿项目有更高本地加工深度。</t>
  </si>
  <si>
    <t>南非具备PGM冶炼精炼；Ambatovy为采矿-HPAL一体化；DRC生产铜阴极和氢氧化钴。</t>
  </si>
  <si>
    <t>非洲并非只能做采矿，关键差别是历史工业基础、电力和资本结构。</t>
  </si>
  <si>
    <t>为每个国家建立“本地加工深度指数”。</t>
  </si>
  <si>
    <t>研究风险</t>
  </si>
  <si>
    <t>公开披露常把资产组产量混合披露，矿山级利润、销售价格、关联交易和税收优惠不透明。</t>
  </si>
  <si>
    <t>Glencore、CMOC等常披露集团/区域产量；非上市项目披露更少。</t>
  </si>
  <si>
    <t>回答“利润流向”必须区分所有权利润、运营利润、贸易利润、加工利润、财政收入和工资/采购。</t>
  </si>
  <si>
    <t>用EITI、公司年报、海关数据、合同库和Orbis/Capital IQ补足。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</si>
</sst>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name val="Carlito"/>
    </font>
    <font>
      <sz val="11"/>
      <name val="Carlito"/>
    </font>
    <font>
      <sz val="9"/>
      <name val="FangSong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0B1F3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8">
    <xf numFmtId="0" fontId="0" fillId="0" borderId="0" xfId="0"/>
    <xf numFmtId="0" fontId="0" fillId="0" borderId="0" xfId="1" applyFont="1" applyAlignment="1">
      <alignment vertical="top" wrapText="1"/>
    </xf>
    <xf numFmtId="0" fontId="3" fillId="0" borderId="0" xfId="1" applyFont="1" applyAlignment="1">
      <alignment vertical="top" wrapText="1"/>
    </xf>
    <xf numFmtId="0" fontId="1" fillId="2" borderId="0" xfId="1" applyFont="1" applyFill="1" applyAlignment="1">
      <alignment horizontal="center" vertical="top" wrapText="1"/>
    </xf>
    <xf numFmtId="0" fontId="0" fillId="0" borderId="0" xfId="1" applyFont="1" applyAlignment="1">
      <alignment horizontal="center" vertical="top" wrapText="1"/>
    </xf>
    <xf numFmtId="0" fontId="1" fillId="2" borderId="0" xfId="1" applyFont="1" applyFill="1" applyAlignment="1">
      <alignment vertical="top" wrapText="1"/>
    </xf>
    <xf numFmtId="0" fontId="2" fillId="3" borderId="0" xfId="1" applyFont="1" applyFill="1" applyAlignment="1">
      <alignment horizontal="center" vertical="top" wrapText="1"/>
    </xf>
    <xf numFmtId="0" fontId="0" fillId="0" borderId="0" xfId="1" applyFont="1" applyAlignment="1">
      <alignment vertical="top" wrapText="1"/>
    </xf>
  </cellXfs>
  <cellStyles count="2">
    <cellStyle name="Normal" xfId="1" xr:uid="{00000000-0005-0000-0000-000000000000}"/>
    <cellStyle name="常规" xfId="0" builtinId="0"/>
  </cellStyles>
  <dxfs count="3">
    <dxf>
      <fill>
        <patternFill patternType="solid">
          <bgColor rgb="FFD5F5E3"/>
        </patternFill>
      </fill>
    </dxf>
    <dxf>
      <fill>
        <patternFill patternType="solid">
          <bgColor rgb="FFFCF3CF"/>
        </patternFill>
      </fill>
    </dxf>
    <dxf>
      <fill>
        <patternFill patternType="solid">
          <bgColor rgb="FFFADB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项目List_Base" displayName="项目List_Base" ref="A1:R38">
  <tableColumns count="18">
    <tableColumn id="1" xr3:uid="{00000000-0010-0000-0000-000001000000}" name="序号"/>
    <tableColumn id="2" xr3:uid="{00000000-0010-0000-0000-000002000000}" name="项目/矿山"/>
    <tableColumn id="3" xr3:uid="{00000000-0010-0000-0000-000003000000}" name="国家/地区"/>
    <tableColumn id="4" xr3:uid="{00000000-0010-0000-0000-000004000000}" name="矿种"/>
    <tableColumn id="5" xr3:uid="{00000000-0010-0000-0000-000005000000}" name="价值链环节"/>
    <tableColumn id="6" xr3:uid="{00000000-0010-0000-0000-000006000000}" name="状态"/>
    <tableColumn id="7" xr3:uid="{00000000-0010-0000-0000-000007000000}" name="产量/产能/规模（公开披露）"/>
    <tableColumn id="8" xr3:uid="{00000000-0010-0000-0000-000008000000}" name="资源量/储量（公开披露）"/>
    <tableColumn id="9" xr3:uid="{00000000-0010-0000-0000-000009000000}" name="主要公司/项目公司"/>
    <tableColumn id="10" xr3:uid="{00000000-0010-0000-0000-00000A000000}" name="股权/控制结构（公开披露）"/>
    <tableColumn id="11" xr3:uid="{00000000-0010-0000-0000-00000B000000}" name="主导资本国家/地区"/>
    <tableColumn id="12" xr3:uid="{00000000-0010-0000-0000-00000C000000}" name="下游/包销/融资/技术关联"/>
    <tableColumn id="13" xr3:uid="{00000000-0010-0000-0000-00000D000000}" name="当地价值捕获方式"/>
    <tableColumn id="14" xr3:uid="{00000000-0010-0000-0000-00000E000000}" name="价值/利润流向初判"/>
    <tableColumn id="15" xr3:uid="{00000000-0010-0000-0000-00000F000000}" name="披露来源类型"/>
    <tableColumn id="16" xr3:uid="{00000000-0010-0000-0000-000010000000}" name="来源URL"/>
    <tableColumn id="17" xr3:uid="{00000000-0010-0000-0000-000011000000}" name="数据完整度"/>
    <tableColumn id="18" xr3:uid="{00000000-0010-0000-0000-000012000000}" name="备注/下一步核查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公司_价值流向" displayName="公司_价值流向" ref="A1:F24">
  <tableColumns count="6">
    <tableColumn id="1" xr3:uid="{00000000-0010-0000-0100-000001000000}" name="公司/机构"/>
    <tableColumn id="2" xr3:uid="{00000000-0010-0000-0100-000002000000}" name="国家/地区"/>
    <tableColumn id="3" xr3:uid="{00000000-0010-0000-0100-000003000000}" name="涉及项目"/>
    <tableColumn id="4" xr3:uid="{00000000-0010-0000-0100-000004000000}" name="价值链角色"/>
    <tableColumn id="5" xr3:uid="{00000000-0010-0000-0100-000005000000}" name="可能捕获的价值类型"/>
    <tableColumn id="6" xr3:uid="{00000000-0010-0000-0100-000006000000}" name="关键披露/网站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ources_更新建议" displayName="Sources_更新建议" ref="A1:D11">
  <tableColumns count="4">
    <tableColumn id="1" xr3:uid="{00000000-0010-0000-0200-000001000000}" name="类别"/>
    <tableColumn id="2" xr3:uid="{00000000-0010-0000-0200-000002000000}" name="推荐来源"/>
    <tableColumn id="3" xr3:uid="{00000000-0010-0000-0200-000003000000}" name="用途"/>
    <tableColumn id="4" xr3:uid="{00000000-0010-0000-0200-000004000000}" name="网址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ummary_Use" displayName="Summary_Use" ref="A1:E7">
  <tableColumns count="5">
    <tableColumn id="1" xr3:uid="{00000000-0010-0000-0300-000001000000}" name="主题"/>
    <tableColumn id="2" xr3:uid="{00000000-0010-0000-0300-000002000000}" name="结论/判断"/>
    <tableColumn id="3" xr3:uid="{00000000-0010-0000-0300-000003000000}" name="支撑信息"/>
    <tableColumn id="4" xr3:uid="{00000000-0010-0000-0300-000004000000}" name="可用于论文的问题意识"/>
    <tableColumn id="5" xr3:uid="{00000000-0010-0000-0300-000005000000}" name="建议补充数据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>
      <selection sqref="A1:B1"/>
    </sheetView>
  </sheetViews>
  <sheetFormatPr baseColWidth="10" defaultColWidth="8.83203125" defaultRowHeight="14"/>
  <cols>
    <col min="1" max="1" width="18" customWidth="1"/>
    <col min="2" max="2" width="100" customWidth="1"/>
  </cols>
  <sheetData>
    <row r="1" spans="1:2">
      <c r="A1" s="6" t="s">
        <v>0</v>
      </c>
      <c r="B1" s="7"/>
    </row>
    <row r="2" spans="1:2" ht="16">
      <c r="A2" s="2" t="s">
        <v>1</v>
      </c>
      <c r="B2" s="1" t="s">
        <v>2</v>
      </c>
    </row>
    <row r="3" spans="1:2" ht="30">
      <c r="A3" s="2" t="s">
        <v>3</v>
      </c>
      <c r="B3" s="1" t="s">
        <v>4</v>
      </c>
    </row>
    <row r="4" spans="1:2" ht="30">
      <c r="A4" s="2" t="s">
        <v>5</v>
      </c>
      <c r="B4" s="1" t="s">
        <v>6</v>
      </c>
    </row>
    <row r="5" spans="1:2" ht="30">
      <c r="A5" s="2" t="s">
        <v>7</v>
      </c>
      <c r="B5" s="1" t="s">
        <v>8</v>
      </c>
    </row>
    <row r="6" spans="1:2" ht="30">
      <c r="A6" s="2" t="s">
        <v>9</v>
      </c>
      <c r="B6" s="1" t="s">
        <v>10</v>
      </c>
    </row>
    <row r="9" spans="1:2" ht="16">
      <c r="A9" s="5" t="s">
        <v>11</v>
      </c>
      <c r="B9" s="5"/>
    </row>
    <row r="10" spans="1:2" ht="16">
      <c r="A10" s="2" t="s">
        <v>12</v>
      </c>
      <c r="B10" s="1">
        <f>COUNTA(项目清单_基础库!B2:B38)</f>
        <v>37</v>
      </c>
    </row>
    <row r="11" spans="1:2" ht="32">
      <c r="A11" s="2" t="s">
        <v>13</v>
      </c>
      <c r="B11" s="1"/>
    </row>
    <row r="12" spans="1:2" ht="16">
      <c r="A12" s="2" t="s">
        <v>14</v>
      </c>
      <c r="B12" s="1">
        <f>COUNTIF(项目清单_基础库!Q2:Q38,"高")</f>
        <v>13</v>
      </c>
    </row>
    <row r="13" spans="1:2" ht="32">
      <c r="A13" s="2" t="s">
        <v>15</v>
      </c>
      <c r="B13" s="1">
        <f>COUNTIF(项目清单_基础库!K2:K38,"*中国*")</f>
        <v>13</v>
      </c>
    </row>
    <row r="14" spans="1:2" ht="48">
      <c r="A14" s="2" t="s">
        <v>16</v>
      </c>
      <c r="B14" s="1">
        <f>COUNTIF(项目清单_基础库!K2:K38,"*美国*")+COUNTIF(项目清单_基础库!K2:K38,"*日本*")+COUNTIF(项目清单_基础库!K2:K38,"*韩国*")+COUNTIF(项目清单_基础库!K2:K38,"*英国*")</f>
        <v>13</v>
      </c>
    </row>
  </sheetData>
  <mergeCells count="1">
    <mergeCell ref="A1:B1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8"/>
  <sheetViews>
    <sheetView tabSelected="1" zoomScale="94" workbookViewId="0">
      <selection activeCell="P4" sqref="P4"/>
    </sheetView>
  </sheetViews>
  <sheetFormatPr baseColWidth="10" defaultColWidth="8.83203125" defaultRowHeight="14"/>
  <cols>
    <col min="1" max="1" width="6" customWidth="1"/>
    <col min="2" max="2" width="26" customWidth="1"/>
    <col min="3" max="3" width="14" customWidth="1"/>
    <col min="4" max="4" width="16" customWidth="1"/>
    <col min="5" max="5" width="18" customWidth="1"/>
    <col min="6" max="6" width="16" customWidth="1"/>
    <col min="7" max="7" width="40" customWidth="1"/>
    <col min="8" max="8" width="34" customWidth="1"/>
    <col min="9" max="9" width="28" customWidth="1"/>
    <col min="10" max="10" width="34" customWidth="1"/>
    <col min="11" max="11" width="20" customWidth="1"/>
    <col min="12" max="12" width="32" customWidth="1"/>
    <col min="13" max="13" width="26" customWidth="1"/>
    <col min="14" max="14" width="42" customWidth="1"/>
    <col min="15" max="15" width="16" customWidth="1"/>
    <col min="16" max="16" width="50" customWidth="1"/>
    <col min="17" max="17" width="12" customWidth="1"/>
    <col min="18" max="18" width="30" customWidth="1"/>
  </cols>
  <sheetData>
    <row r="1" spans="1:18" ht="16">
      <c r="A1" s="3" t="s">
        <v>17</v>
      </c>
      <c r="B1" s="3" t="s">
        <v>18</v>
      </c>
      <c r="C1" s="3" t="s">
        <v>19</v>
      </c>
      <c r="D1" s="3" t="s">
        <v>20</v>
      </c>
      <c r="E1" s="3" t="s">
        <v>21</v>
      </c>
      <c r="F1" s="3" t="s">
        <v>22</v>
      </c>
      <c r="G1" s="3" t="s">
        <v>23</v>
      </c>
      <c r="H1" s="3" t="s">
        <v>24</v>
      </c>
      <c r="I1" s="3" t="s">
        <v>25</v>
      </c>
      <c r="J1" s="3" t="s">
        <v>26</v>
      </c>
      <c r="K1" s="3" t="s">
        <v>27</v>
      </c>
      <c r="L1" s="3" t="s">
        <v>28</v>
      </c>
      <c r="M1" s="3" t="s">
        <v>29</v>
      </c>
      <c r="N1" s="3" t="s">
        <v>30</v>
      </c>
      <c r="O1" s="3" t="s">
        <v>31</v>
      </c>
      <c r="P1" s="3" t="s">
        <v>32</v>
      </c>
      <c r="Q1" s="3" t="s">
        <v>33</v>
      </c>
      <c r="R1" s="3" t="s">
        <v>34</v>
      </c>
    </row>
    <row r="2" spans="1:18" ht="60">
      <c r="A2" s="4">
        <v>1</v>
      </c>
      <c r="B2" s="1" t="s">
        <v>35</v>
      </c>
      <c r="C2" s="1" t="s">
        <v>36</v>
      </c>
      <c r="D2" s="1" t="s">
        <v>37</v>
      </c>
      <c r="E2" s="1" t="s">
        <v>38</v>
      </c>
      <c r="F2" s="1" t="s">
        <v>39</v>
      </c>
      <c r="G2" s="1" t="s">
        <v>40</v>
      </c>
      <c r="H2" s="1" t="s">
        <v>41</v>
      </c>
      <c r="I2" s="1" t="s">
        <v>42</v>
      </c>
      <c r="J2" s="1" t="s">
        <v>43</v>
      </c>
      <c r="K2" s="1" t="s">
        <v>44</v>
      </c>
      <c r="L2" s="1" t="s">
        <v>45</v>
      </c>
      <c r="M2" s="1" t="s">
        <v>46</v>
      </c>
      <c r="N2" s="1" t="s">
        <v>47</v>
      </c>
      <c r="O2" s="1" t="s">
        <v>48</v>
      </c>
      <c r="P2" s="1" t="s">
        <v>49</v>
      </c>
      <c r="Q2" s="1" t="s">
        <v>50</v>
      </c>
      <c r="R2" s="1" t="s">
        <v>51</v>
      </c>
    </row>
    <row r="3" spans="1:18" ht="60">
      <c r="A3" s="4">
        <v>2</v>
      </c>
      <c r="B3" s="1" t="s">
        <v>52</v>
      </c>
      <c r="C3" s="1" t="s">
        <v>36</v>
      </c>
      <c r="D3" s="1" t="s">
        <v>53</v>
      </c>
      <c r="E3" s="1" t="s">
        <v>54</v>
      </c>
      <c r="F3" s="1" t="s">
        <v>39</v>
      </c>
      <c r="G3" s="1" t="s">
        <v>55</v>
      </c>
      <c r="H3" s="1" t="s">
        <v>56</v>
      </c>
      <c r="I3" s="1" t="s">
        <v>57</v>
      </c>
      <c r="J3" s="1" t="s">
        <v>58</v>
      </c>
      <c r="K3" s="1" t="s">
        <v>59</v>
      </c>
      <c r="L3" s="1" t="s">
        <v>60</v>
      </c>
      <c r="M3" s="1" t="s">
        <v>61</v>
      </c>
      <c r="N3" s="1" t="s">
        <v>62</v>
      </c>
      <c r="O3" s="1" t="s">
        <v>63</v>
      </c>
      <c r="P3" s="1" t="s">
        <v>64</v>
      </c>
      <c r="Q3" s="1" t="s">
        <v>65</v>
      </c>
      <c r="R3" s="1" t="s">
        <v>66</v>
      </c>
    </row>
    <row r="4" spans="1:18" ht="45">
      <c r="A4" s="4">
        <v>3</v>
      </c>
      <c r="B4" s="1" t="s">
        <v>67</v>
      </c>
      <c r="C4" s="1" t="s">
        <v>36</v>
      </c>
      <c r="D4" s="1" t="s">
        <v>53</v>
      </c>
      <c r="E4" s="1" t="s">
        <v>54</v>
      </c>
      <c r="F4" s="1" t="s">
        <v>39</v>
      </c>
      <c r="G4" s="1" t="s">
        <v>68</v>
      </c>
      <c r="H4" s="1" t="s">
        <v>69</v>
      </c>
      <c r="I4" s="1" t="s">
        <v>70</v>
      </c>
      <c r="J4" s="1" t="s">
        <v>71</v>
      </c>
      <c r="K4" s="1" t="s">
        <v>59</v>
      </c>
      <c r="L4" s="1" t="s">
        <v>72</v>
      </c>
      <c r="M4" s="1" t="s">
        <v>73</v>
      </c>
      <c r="N4" s="1" t="s">
        <v>74</v>
      </c>
      <c r="O4" s="1" t="s">
        <v>75</v>
      </c>
      <c r="P4" s="1" t="s">
        <v>76</v>
      </c>
      <c r="Q4" s="1" t="s">
        <v>65</v>
      </c>
      <c r="R4" s="1" t="s">
        <v>77</v>
      </c>
    </row>
    <row r="5" spans="1:18" ht="45">
      <c r="A5" s="4">
        <v>4</v>
      </c>
      <c r="B5" s="1" t="s">
        <v>78</v>
      </c>
      <c r="C5" s="1" t="s">
        <v>36</v>
      </c>
      <c r="D5" s="1" t="s">
        <v>53</v>
      </c>
      <c r="E5" s="1" t="s">
        <v>54</v>
      </c>
      <c r="F5" s="1" t="s">
        <v>79</v>
      </c>
      <c r="G5" s="1" t="s">
        <v>80</v>
      </c>
      <c r="H5" s="1" t="s">
        <v>81</v>
      </c>
      <c r="I5" s="1" t="s">
        <v>82</v>
      </c>
      <c r="J5" s="1" t="s">
        <v>83</v>
      </c>
      <c r="K5" s="1" t="s">
        <v>84</v>
      </c>
      <c r="L5" s="1" t="s">
        <v>85</v>
      </c>
      <c r="M5" s="1" t="s">
        <v>86</v>
      </c>
      <c r="N5" s="1" t="s">
        <v>87</v>
      </c>
      <c r="O5" s="1" t="s">
        <v>88</v>
      </c>
      <c r="P5" s="1" t="s">
        <v>89</v>
      </c>
      <c r="Q5" s="1" t="s">
        <v>50</v>
      </c>
      <c r="R5" s="1" t="s">
        <v>90</v>
      </c>
    </row>
    <row r="6" spans="1:18" ht="45">
      <c r="A6" s="4">
        <v>5</v>
      </c>
      <c r="B6" s="1" t="s">
        <v>91</v>
      </c>
      <c r="C6" s="1" t="s">
        <v>36</v>
      </c>
      <c r="D6" s="1" t="s">
        <v>53</v>
      </c>
      <c r="E6" s="1" t="s">
        <v>54</v>
      </c>
      <c r="F6" s="1" t="s">
        <v>92</v>
      </c>
      <c r="G6" s="1" t="s">
        <v>93</v>
      </c>
      <c r="H6" s="1" t="s">
        <v>94</v>
      </c>
      <c r="I6" s="1" t="s">
        <v>95</v>
      </c>
      <c r="J6" s="1" t="s">
        <v>96</v>
      </c>
      <c r="K6" s="1" t="s">
        <v>84</v>
      </c>
      <c r="L6" s="1" t="s">
        <v>97</v>
      </c>
      <c r="M6" s="1" t="s">
        <v>98</v>
      </c>
      <c r="N6" s="1" t="s">
        <v>99</v>
      </c>
      <c r="O6" s="1" t="s">
        <v>88</v>
      </c>
      <c r="P6" s="1" t="s">
        <v>100</v>
      </c>
      <c r="Q6" s="1" t="s">
        <v>50</v>
      </c>
      <c r="R6" s="1" t="s">
        <v>101</v>
      </c>
    </row>
    <row r="7" spans="1:18" ht="30">
      <c r="A7" s="4">
        <v>6</v>
      </c>
      <c r="B7" s="1" t="s">
        <v>102</v>
      </c>
      <c r="C7" s="1" t="s">
        <v>36</v>
      </c>
      <c r="D7" s="1" t="s">
        <v>53</v>
      </c>
      <c r="E7" s="1" t="s">
        <v>103</v>
      </c>
      <c r="F7" s="1" t="s">
        <v>79</v>
      </c>
      <c r="G7" s="1" t="s">
        <v>104</v>
      </c>
      <c r="H7" s="1" t="s">
        <v>105</v>
      </c>
      <c r="I7" s="1" t="s">
        <v>106</v>
      </c>
      <c r="J7" s="1" t="s">
        <v>107</v>
      </c>
      <c r="K7" s="1" t="s">
        <v>108</v>
      </c>
      <c r="L7" s="1" t="s">
        <v>109</v>
      </c>
      <c r="M7" s="1" t="s">
        <v>110</v>
      </c>
      <c r="N7" s="1" t="s">
        <v>111</v>
      </c>
      <c r="O7" s="1" t="s">
        <v>112</v>
      </c>
      <c r="P7" s="1" t="s">
        <v>113</v>
      </c>
      <c r="Q7" s="1" t="s">
        <v>65</v>
      </c>
      <c r="R7" s="1" t="s">
        <v>114</v>
      </c>
    </row>
    <row r="8" spans="1:18" ht="75">
      <c r="A8" s="4">
        <v>7</v>
      </c>
      <c r="B8" s="1" t="s">
        <v>115</v>
      </c>
      <c r="C8" s="1" t="s">
        <v>36</v>
      </c>
      <c r="D8" s="1" t="s">
        <v>53</v>
      </c>
      <c r="E8" s="1" t="s">
        <v>116</v>
      </c>
      <c r="F8" s="1" t="s">
        <v>117</v>
      </c>
      <c r="G8" s="1" t="s">
        <v>118</v>
      </c>
      <c r="H8" s="1" t="s">
        <v>119</v>
      </c>
      <c r="I8" s="1" t="s">
        <v>120</v>
      </c>
      <c r="J8" s="1" t="s">
        <v>121</v>
      </c>
      <c r="K8" s="1" t="s">
        <v>59</v>
      </c>
      <c r="L8" s="1" t="s">
        <v>122</v>
      </c>
      <c r="M8" s="1" t="s">
        <v>123</v>
      </c>
      <c r="N8" s="1" t="s">
        <v>124</v>
      </c>
      <c r="O8" s="1" t="s">
        <v>125</v>
      </c>
      <c r="P8" s="1" t="s">
        <v>126</v>
      </c>
      <c r="Q8" s="1" t="s">
        <v>50</v>
      </c>
      <c r="R8" s="1" t="s">
        <v>127</v>
      </c>
    </row>
    <row r="9" spans="1:18" ht="60">
      <c r="A9" s="4">
        <v>8</v>
      </c>
      <c r="B9" s="1" t="s">
        <v>128</v>
      </c>
      <c r="C9" s="1" t="s">
        <v>36</v>
      </c>
      <c r="D9" s="1" t="s">
        <v>53</v>
      </c>
      <c r="E9" s="1" t="s">
        <v>54</v>
      </c>
      <c r="F9" s="1" t="s">
        <v>129</v>
      </c>
      <c r="G9" s="1" t="s">
        <v>130</v>
      </c>
      <c r="H9" s="1" t="s">
        <v>131</v>
      </c>
      <c r="I9" s="1" t="s">
        <v>132</v>
      </c>
      <c r="J9" s="1" t="s">
        <v>133</v>
      </c>
      <c r="K9" s="1" t="s">
        <v>134</v>
      </c>
      <c r="L9" s="1" t="s">
        <v>135</v>
      </c>
      <c r="M9" s="1" t="s">
        <v>136</v>
      </c>
      <c r="N9" s="1" t="s">
        <v>137</v>
      </c>
      <c r="O9" s="1" t="s">
        <v>138</v>
      </c>
      <c r="P9" s="1" t="s">
        <v>139</v>
      </c>
      <c r="Q9" s="1" t="s">
        <v>140</v>
      </c>
      <c r="R9" s="1" t="s">
        <v>141</v>
      </c>
    </row>
    <row r="10" spans="1:18" ht="45">
      <c r="A10" s="4">
        <v>9</v>
      </c>
      <c r="B10" s="1" t="s">
        <v>142</v>
      </c>
      <c r="C10" s="1" t="s">
        <v>143</v>
      </c>
      <c r="D10" s="1" t="s">
        <v>144</v>
      </c>
      <c r="E10" s="1" t="s">
        <v>145</v>
      </c>
      <c r="F10" s="1" t="s">
        <v>39</v>
      </c>
      <c r="G10" s="1" t="s">
        <v>146</v>
      </c>
      <c r="H10" s="1" t="s">
        <v>147</v>
      </c>
      <c r="I10" s="1" t="s">
        <v>148</v>
      </c>
      <c r="J10" s="1" t="s">
        <v>149</v>
      </c>
      <c r="K10" s="1" t="s">
        <v>150</v>
      </c>
      <c r="L10" s="1" t="s">
        <v>151</v>
      </c>
      <c r="M10" s="1" t="s">
        <v>152</v>
      </c>
      <c r="N10" s="1" t="s">
        <v>153</v>
      </c>
      <c r="O10" s="1" t="s">
        <v>154</v>
      </c>
      <c r="P10" s="1" t="s">
        <v>155</v>
      </c>
      <c r="Q10" s="1" t="s">
        <v>65</v>
      </c>
      <c r="R10" s="1" t="s">
        <v>156</v>
      </c>
    </row>
    <row r="11" spans="1:18" ht="30">
      <c r="A11" s="4">
        <v>10</v>
      </c>
      <c r="B11" s="1" t="s">
        <v>157</v>
      </c>
      <c r="C11" s="1" t="s">
        <v>143</v>
      </c>
      <c r="D11" s="1" t="s">
        <v>37</v>
      </c>
      <c r="E11" s="1" t="s">
        <v>158</v>
      </c>
      <c r="F11" s="1" t="s">
        <v>79</v>
      </c>
      <c r="G11" s="1" t="s">
        <v>159</v>
      </c>
      <c r="H11" s="1" t="s">
        <v>160</v>
      </c>
      <c r="I11" s="1" t="s">
        <v>161</v>
      </c>
      <c r="J11" s="1" t="s">
        <v>162</v>
      </c>
      <c r="K11" s="1" t="s">
        <v>150</v>
      </c>
      <c r="L11" s="1" t="s">
        <v>163</v>
      </c>
      <c r="M11" s="1" t="s">
        <v>164</v>
      </c>
      <c r="N11" s="1" t="s">
        <v>165</v>
      </c>
      <c r="O11" s="1" t="s">
        <v>166</v>
      </c>
      <c r="P11" s="1" t="s">
        <v>167</v>
      </c>
      <c r="Q11" s="1" t="s">
        <v>50</v>
      </c>
      <c r="R11" s="1" t="s">
        <v>168</v>
      </c>
    </row>
    <row r="12" spans="1:18" ht="30">
      <c r="A12" s="4">
        <v>11</v>
      </c>
      <c r="B12" s="1" t="s">
        <v>169</v>
      </c>
      <c r="C12" s="1" t="s">
        <v>143</v>
      </c>
      <c r="D12" s="1" t="s">
        <v>53</v>
      </c>
      <c r="E12" s="1" t="s">
        <v>170</v>
      </c>
      <c r="F12" s="1" t="s">
        <v>171</v>
      </c>
      <c r="G12" s="1" t="s">
        <v>172</v>
      </c>
      <c r="H12" s="1" t="s">
        <v>173</v>
      </c>
      <c r="I12" s="1" t="s">
        <v>174</v>
      </c>
      <c r="J12" s="1" t="s">
        <v>175</v>
      </c>
      <c r="K12" s="1" t="s">
        <v>176</v>
      </c>
      <c r="L12" s="1" t="s">
        <v>177</v>
      </c>
      <c r="M12" s="1" t="s">
        <v>178</v>
      </c>
      <c r="N12" s="1" t="s">
        <v>179</v>
      </c>
      <c r="O12" s="1" t="s">
        <v>180</v>
      </c>
      <c r="P12" s="1" t="s">
        <v>181</v>
      </c>
      <c r="Q12" s="1" t="s">
        <v>65</v>
      </c>
      <c r="R12" s="1" t="s">
        <v>182</v>
      </c>
    </row>
    <row r="13" spans="1:18" ht="45">
      <c r="A13" s="4">
        <v>12</v>
      </c>
      <c r="B13" s="1" t="s">
        <v>183</v>
      </c>
      <c r="C13" s="1" t="s">
        <v>143</v>
      </c>
      <c r="D13" s="1" t="s">
        <v>53</v>
      </c>
      <c r="E13" s="1" t="s">
        <v>184</v>
      </c>
      <c r="F13" s="1" t="s">
        <v>185</v>
      </c>
      <c r="G13" s="1" t="s">
        <v>186</v>
      </c>
      <c r="H13" s="1" t="s">
        <v>187</v>
      </c>
      <c r="I13" s="1" t="s">
        <v>188</v>
      </c>
      <c r="J13" s="1" t="s">
        <v>189</v>
      </c>
      <c r="K13" s="1" t="s">
        <v>190</v>
      </c>
      <c r="L13" s="1" t="s">
        <v>191</v>
      </c>
      <c r="M13" s="1" t="s">
        <v>192</v>
      </c>
      <c r="N13" s="1" t="s">
        <v>193</v>
      </c>
      <c r="O13" s="1" t="s">
        <v>112</v>
      </c>
      <c r="P13" s="1" t="s">
        <v>194</v>
      </c>
      <c r="Q13" s="1" t="s">
        <v>50</v>
      </c>
      <c r="R13" s="1" t="s">
        <v>195</v>
      </c>
    </row>
    <row r="14" spans="1:18" ht="45">
      <c r="A14" s="4">
        <v>13</v>
      </c>
      <c r="B14" s="1" t="s">
        <v>196</v>
      </c>
      <c r="C14" s="1" t="s">
        <v>197</v>
      </c>
      <c r="D14" s="1" t="s">
        <v>198</v>
      </c>
      <c r="E14" s="1" t="s">
        <v>199</v>
      </c>
      <c r="F14" s="1" t="s">
        <v>39</v>
      </c>
      <c r="G14" s="1" t="s">
        <v>200</v>
      </c>
      <c r="H14" s="1" t="s">
        <v>201</v>
      </c>
      <c r="I14" s="1" t="s">
        <v>202</v>
      </c>
      <c r="J14" s="1" t="s">
        <v>203</v>
      </c>
      <c r="K14" s="1" t="s">
        <v>204</v>
      </c>
      <c r="L14" s="1" t="s">
        <v>205</v>
      </c>
      <c r="M14" s="1" t="s">
        <v>206</v>
      </c>
      <c r="N14" s="1" t="s">
        <v>207</v>
      </c>
      <c r="O14" s="1" t="s">
        <v>208</v>
      </c>
      <c r="P14" s="1" t="s">
        <v>209</v>
      </c>
      <c r="Q14" s="1" t="s">
        <v>50</v>
      </c>
      <c r="R14" s="1" t="s">
        <v>210</v>
      </c>
    </row>
    <row r="15" spans="1:18" ht="45">
      <c r="A15" s="4">
        <v>14</v>
      </c>
      <c r="B15" s="1" t="s">
        <v>211</v>
      </c>
      <c r="C15" s="1" t="s">
        <v>197</v>
      </c>
      <c r="D15" s="1" t="s">
        <v>198</v>
      </c>
      <c r="E15" s="1" t="s">
        <v>212</v>
      </c>
      <c r="F15" s="1" t="s">
        <v>213</v>
      </c>
      <c r="G15" s="1" t="s">
        <v>214</v>
      </c>
      <c r="H15" s="1" t="s">
        <v>215</v>
      </c>
      <c r="I15" s="1" t="s">
        <v>216</v>
      </c>
      <c r="J15" s="1" t="s">
        <v>217</v>
      </c>
      <c r="K15" s="1" t="s">
        <v>204</v>
      </c>
      <c r="L15" s="1" t="s">
        <v>218</v>
      </c>
      <c r="M15" s="1" t="s">
        <v>219</v>
      </c>
      <c r="N15" s="1" t="s">
        <v>220</v>
      </c>
      <c r="O15" s="1" t="s">
        <v>221</v>
      </c>
      <c r="P15" s="1" t="s">
        <v>222</v>
      </c>
      <c r="Q15" s="1" t="s">
        <v>65</v>
      </c>
      <c r="R15" s="1" t="s">
        <v>223</v>
      </c>
    </row>
    <row r="16" spans="1:18" ht="30">
      <c r="A16" s="4">
        <v>15</v>
      </c>
      <c r="B16" s="1" t="s">
        <v>224</v>
      </c>
      <c r="C16" s="1" t="s">
        <v>197</v>
      </c>
      <c r="D16" s="1" t="s">
        <v>198</v>
      </c>
      <c r="E16" s="1" t="s">
        <v>158</v>
      </c>
      <c r="F16" s="1" t="s">
        <v>79</v>
      </c>
      <c r="G16" s="1" t="s">
        <v>225</v>
      </c>
      <c r="H16" s="1" t="s">
        <v>226</v>
      </c>
      <c r="I16" s="1" t="s">
        <v>227</v>
      </c>
      <c r="J16" s="1" t="s">
        <v>228</v>
      </c>
      <c r="K16" s="1" t="s">
        <v>204</v>
      </c>
      <c r="L16" s="1" t="s">
        <v>229</v>
      </c>
      <c r="M16" s="1" t="s">
        <v>230</v>
      </c>
      <c r="N16" s="1" t="s">
        <v>231</v>
      </c>
      <c r="O16" s="1" t="s">
        <v>232</v>
      </c>
      <c r="P16" s="1" t="s">
        <v>233</v>
      </c>
      <c r="Q16" s="1" t="s">
        <v>50</v>
      </c>
      <c r="R16" s="1" t="s">
        <v>234</v>
      </c>
    </row>
    <row r="17" spans="1:18" ht="45">
      <c r="A17" s="4">
        <v>16</v>
      </c>
      <c r="B17" s="1" t="s">
        <v>235</v>
      </c>
      <c r="C17" s="1" t="s">
        <v>197</v>
      </c>
      <c r="D17" s="1" t="s">
        <v>236</v>
      </c>
      <c r="E17" s="1" t="s">
        <v>158</v>
      </c>
      <c r="F17" s="1" t="s">
        <v>237</v>
      </c>
      <c r="G17" s="1" t="s">
        <v>238</v>
      </c>
      <c r="H17" s="1" t="s">
        <v>239</v>
      </c>
      <c r="I17" s="1" t="s">
        <v>240</v>
      </c>
      <c r="J17" s="1" t="s">
        <v>241</v>
      </c>
      <c r="K17" s="1" t="s">
        <v>242</v>
      </c>
      <c r="L17" s="1" t="s">
        <v>243</v>
      </c>
      <c r="M17" s="1" t="s">
        <v>244</v>
      </c>
      <c r="N17" s="1" t="s">
        <v>245</v>
      </c>
      <c r="O17" s="1" t="s">
        <v>246</v>
      </c>
      <c r="P17" s="1" t="s">
        <v>247</v>
      </c>
      <c r="Q17" s="1" t="s">
        <v>140</v>
      </c>
      <c r="R17" s="1" t="s">
        <v>248</v>
      </c>
    </row>
    <row r="18" spans="1:18" ht="90">
      <c r="A18" s="4">
        <v>17</v>
      </c>
      <c r="B18" s="1" t="s">
        <v>249</v>
      </c>
      <c r="C18" s="1" t="s">
        <v>250</v>
      </c>
      <c r="D18" s="1" t="s">
        <v>198</v>
      </c>
      <c r="E18" s="1" t="s">
        <v>158</v>
      </c>
      <c r="F18" s="1" t="s">
        <v>251</v>
      </c>
      <c r="G18" s="1" t="s">
        <v>252</v>
      </c>
      <c r="H18" s="1" t="s">
        <v>253</v>
      </c>
      <c r="I18" s="1" t="s">
        <v>254</v>
      </c>
      <c r="J18" s="1" t="s">
        <v>255</v>
      </c>
      <c r="K18" s="1" t="s">
        <v>256</v>
      </c>
      <c r="L18" s="1" t="s">
        <v>257</v>
      </c>
      <c r="M18" s="1" t="s">
        <v>258</v>
      </c>
      <c r="N18" s="1" t="s">
        <v>259</v>
      </c>
      <c r="O18" s="1" t="s">
        <v>260</v>
      </c>
      <c r="P18" s="1" t="s">
        <v>261</v>
      </c>
      <c r="Q18" s="1" t="s">
        <v>50</v>
      </c>
      <c r="R18" s="1" t="s">
        <v>262</v>
      </c>
    </row>
    <row r="19" spans="1:18" ht="105">
      <c r="A19" s="4">
        <v>18</v>
      </c>
      <c r="B19" s="1" t="s">
        <v>263</v>
      </c>
      <c r="C19" s="1" t="s">
        <v>264</v>
      </c>
      <c r="D19" s="1" t="s">
        <v>265</v>
      </c>
      <c r="E19" s="1" t="s">
        <v>266</v>
      </c>
      <c r="F19" s="1" t="s">
        <v>267</v>
      </c>
      <c r="G19" s="1" t="s">
        <v>268</v>
      </c>
      <c r="H19" s="1" t="s">
        <v>269</v>
      </c>
      <c r="I19" s="1" t="s">
        <v>270</v>
      </c>
      <c r="J19" s="1" t="s">
        <v>271</v>
      </c>
      <c r="K19" s="1" t="s">
        <v>272</v>
      </c>
      <c r="L19" s="1" t="s">
        <v>273</v>
      </c>
      <c r="M19" s="1" t="s">
        <v>274</v>
      </c>
      <c r="N19" s="1" t="s">
        <v>275</v>
      </c>
      <c r="O19" s="1" t="s">
        <v>276</v>
      </c>
      <c r="P19" s="1" t="s">
        <v>277</v>
      </c>
      <c r="Q19" s="1" t="s">
        <v>65</v>
      </c>
      <c r="R19" s="1" t="s">
        <v>278</v>
      </c>
    </row>
    <row r="20" spans="1:18" ht="45">
      <c r="A20" s="4">
        <v>19</v>
      </c>
      <c r="B20" s="1" t="s">
        <v>279</v>
      </c>
      <c r="C20" s="1" t="s">
        <v>264</v>
      </c>
      <c r="D20" s="1" t="s">
        <v>265</v>
      </c>
      <c r="E20" s="1" t="s">
        <v>280</v>
      </c>
      <c r="F20" s="1" t="s">
        <v>281</v>
      </c>
      <c r="G20" s="1" t="s">
        <v>282</v>
      </c>
      <c r="H20" s="1" t="s">
        <v>283</v>
      </c>
      <c r="I20" s="1" t="s">
        <v>284</v>
      </c>
      <c r="J20" s="1" t="s">
        <v>285</v>
      </c>
      <c r="K20" s="1" t="s">
        <v>286</v>
      </c>
      <c r="L20" s="1" t="s">
        <v>287</v>
      </c>
      <c r="M20" s="1" t="s">
        <v>288</v>
      </c>
      <c r="N20" s="1" t="s">
        <v>289</v>
      </c>
      <c r="O20" s="1" t="s">
        <v>138</v>
      </c>
      <c r="P20" s="1" t="s">
        <v>290</v>
      </c>
      <c r="Q20" s="1" t="s">
        <v>50</v>
      </c>
      <c r="R20" s="1" t="s">
        <v>291</v>
      </c>
    </row>
    <row r="21" spans="1:18" ht="45">
      <c r="A21" s="4">
        <v>20</v>
      </c>
      <c r="B21" s="1" t="s">
        <v>292</v>
      </c>
      <c r="C21" s="1" t="s">
        <v>293</v>
      </c>
      <c r="D21" s="1" t="s">
        <v>265</v>
      </c>
      <c r="E21" s="1" t="s">
        <v>294</v>
      </c>
      <c r="F21" s="1" t="s">
        <v>39</v>
      </c>
      <c r="G21" s="1" t="s">
        <v>295</v>
      </c>
      <c r="H21" s="1" t="s">
        <v>296</v>
      </c>
      <c r="I21" s="1" t="s">
        <v>297</v>
      </c>
      <c r="J21" s="1" t="s">
        <v>298</v>
      </c>
      <c r="K21" s="1" t="s">
        <v>299</v>
      </c>
      <c r="L21" s="1" t="s">
        <v>300</v>
      </c>
      <c r="M21" s="1" t="s">
        <v>301</v>
      </c>
      <c r="N21" s="1" t="s">
        <v>302</v>
      </c>
      <c r="O21" s="1" t="s">
        <v>303</v>
      </c>
      <c r="P21" s="1" t="s">
        <v>304</v>
      </c>
      <c r="Q21" s="1" t="s">
        <v>65</v>
      </c>
      <c r="R21" s="1" t="s">
        <v>305</v>
      </c>
    </row>
    <row r="22" spans="1:18" ht="45">
      <c r="A22" s="4">
        <v>21</v>
      </c>
      <c r="B22" s="1" t="s">
        <v>306</v>
      </c>
      <c r="C22" s="1" t="s">
        <v>307</v>
      </c>
      <c r="D22" s="1" t="s">
        <v>265</v>
      </c>
      <c r="E22" s="1" t="s">
        <v>158</v>
      </c>
      <c r="F22" s="1" t="s">
        <v>308</v>
      </c>
      <c r="G22" s="1" t="s">
        <v>309</v>
      </c>
      <c r="H22" s="1" t="s">
        <v>310</v>
      </c>
      <c r="I22" s="1" t="s">
        <v>311</v>
      </c>
      <c r="J22" s="1" t="s">
        <v>312</v>
      </c>
      <c r="K22" s="1" t="s">
        <v>313</v>
      </c>
      <c r="L22" s="1" t="s">
        <v>314</v>
      </c>
      <c r="M22" s="1" t="s">
        <v>315</v>
      </c>
      <c r="N22" s="1" t="s">
        <v>316</v>
      </c>
      <c r="O22" s="1" t="s">
        <v>317</v>
      </c>
      <c r="P22" s="1" t="s">
        <v>318</v>
      </c>
      <c r="Q22" s="1" t="s">
        <v>50</v>
      </c>
      <c r="R22" s="1" t="s">
        <v>319</v>
      </c>
    </row>
    <row r="23" spans="1:18" ht="45">
      <c r="A23" s="4">
        <v>22</v>
      </c>
      <c r="B23" s="1" t="s">
        <v>320</v>
      </c>
      <c r="C23" s="1" t="s">
        <v>307</v>
      </c>
      <c r="D23" s="1" t="s">
        <v>265</v>
      </c>
      <c r="E23" s="1" t="s">
        <v>158</v>
      </c>
      <c r="F23" s="1" t="s">
        <v>321</v>
      </c>
      <c r="G23" s="1" t="s">
        <v>322</v>
      </c>
      <c r="H23" s="1" t="s">
        <v>323</v>
      </c>
      <c r="I23" s="1" t="s">
        <v>324</v>
      </c>
      <c r="J23" s="1" t="s">
        <v>325</v>
      </c>
      <c r="K23" s="1" t="s">
        <v>326</v>
      </c>
      <c r="L23" s="1" t="s">
        <v>327</v>
      </c>
      <c r="M23" s="1" t="s">
        <v>328</v>
      </c>
      <c r="N23" s="1" t="s">
        <v>329</v>
      </c>
      <c r="O23" s="1" t="s">
        <v>138</v>
      </c>
      <c r="P23" s="1" t="s">
        <v>330</v>
      </c>
      <c r="Q23" s="1" t="s">
        <v>50</v>
      </c>
      <c r="R23" s="1" t="s">
        <v>331</v>
      </c>
    </row>
    <row r="24" spans="1:18" ht="60">
      <c r="A24" s="4">
        <v>23</v>
      </c>
      <c r="B24" s="1" t="s">
        <v>332</v>
      </c>
      <c r="C24" s="1" t="s">
        <v>333</v>
      </c>
      <c r="D24" s="1" t="s">
        <v>334</v>
      </c>
      <c r="E24" s="1" t="s">
        <v>335</v>
      </c>
      <c r="F24" s="1" t="s">
        <v>336</v>
      </c>
      <c r="G24" s="1" t="s">
        <v>337</v>
      </c>
      <c r="H24" s="1" t="s">
        <v>338</v>
      </c>
      <c r="I24" s="1" t="s">
        <v>339</v>
      </c>
      <c r="J24" s="1" t="s">
        <v>340</v>
      </c>
      <c r="K24" s="1" t="s">
        <v>341</v>
      </c>
      <c r="L24" s="1" t="s">
        <v>342</v>
      </c>
      <c r="M24" s="1" t="s">
        <v>343</v>
      </c>
      <c r="N24" s="1" t="s">
        <v>344</v>
      </c>
      <c r="O24" s="1" t="s">
        <v>112</v>
      </c>
      <c r="P24" s="1" t="s">
        <v>345</v>
      </c>
      <c r="Q24" s="1" t="s">
        <v>65</v>
      </c>
      <c r="R24" s="1" t="s">
        <v>346</v>
      </c>
    </row>
    <row r="25" spans="1:18" ht="75">
      <c r="A25" s="4">
        <v>24</v>
      </c>
      <c r="B25" s="1" t="s">
        <v>347</v>
      </c>
      <c r="C25" s="1" t="s">
        <v>348</v>
      </c>
      <c r="D25" s="1" t="s">
        <v>349</v>
      </c>
      <c r="E25" s="1" t="s">
        <v>350</v>
      </c>
      <c r="F25" s="1" t="s">
        <v>351</v>
      </c>
      <c r="G25" s="1" t="s">
        <v>352</v>
      </c>
      <c r="H25" s="1" t="s">
        <v>353</v>
      </c>
      <c r="I25" s="1" t="s">
        <v>354</v>
      </c>
      <c r="J25" s="1" t="s">
        <v>355</v>
      </c>
      <c r="K25" s="1" t="s">
        <v>356</v>
      </c>
      <c r="L25" s="1" t="s">
        <v>357</v>
      </c>
      <c r="M25" s="1" t="s">
        <v>358</v>
      </c>
      <c r="N25" s="1" t="s">
        <v>359</v>
      </c>
      <c r="O25" s="1" t="s">
        <v>360</v>
      </c>
      <c r="P25" s="1" t="s">
        <v>361</v>
      </c>
      <c r="Q25" s="1" t="s">
        <v>65</v>
      </c>
      <c r="R25" s="1" t="s">
        <v>362</v>
      </c>
    </row>
    <row r="26" spans="1:18" ht="60">
      <c r="A26" s="4">
        <v>25</v>
      </c>
      <c r="B26" s="1" t="s">
        <v>363</v>
      </c>
      <c r="C26" s="1" t="s">
        <v>307</v>
      </c>
      <c r="D26" s="1" t="s">
        <v>349</v>
      </c>
      <c r="E26" s="1" t="s">
        <v>350</v>
      </c>
      <c r="F26" s="1" t="s">
        <v>364</v>
      </c>
      <c r="G26" s="1" t="s">
        <v>365</v>
      </c>
      <c r="H26" s="1" t="s">
        <v>366</v>
      </c>
      <c r="I26" s="1" t="s">
        <v>367</v>
      </c>
      <c r="J26" s="1" t="s">
        <v>368</v>
      </c>
      <c r="K26" s="1" t="s">
        <v>369</v>
      </c>
      <c r="L26" s="1" t="s">
        <v>370</v>
      </c>
      <c r="M26" s="1" t="s">
        <v>371</v>
      </c>
      <c r="N26" s="1" t="s">
        <v>372</v>
      </c>
      <c r="O26" s="1" t="s">
        <v>373</v>
      </c>
      <c r="P26" s="1" t="s">
        <v>374</v>
      </c>
      <c r="Q26" s="1" t="s">
        <v>65</v>
      </c>
      <c r="R26" s="1" t="s">
        <v>375</v>
      </c>
    </row>
    <row r="27" spans="1:18" ht="60">
      <c r="A27" s="4">
        <v>26</v>
      </c>
      <c r="B27" s="1" t="s">
        <v>376</v>
      </c>
      <c r="C27" s="1" t="s">
        <v>377</v>
      </c>
      <c r="D27" s="1" t="s">
        <v>378</v>
      </c>
      <c r="E27" s="1" t="s">
        <v>379</v>
      </c>
      <c r="F27" s="1" t="s">
        <v>380</v>
      </c>
      <c r="G27" s="1" t="s">
        <v>381</v>
      </c>
      <c r="H27" s="1" t="s">
        <v>382</v>
      </c>
      <c r="I27" s="1" t="s">
        <v>383</v>
      </c>
      <c r="J27" s="1" t="s">
        <v>384</v>
      </c>
      <c r="K27" s="1" t="s">
        <v>385</v>
      </c>
      <c r="L27" s="1" t="s">
        <v>386</v>
      </c>
      <c r="M27" s="1" t="s">
        <v>387</v>
      </c>
      <c r="N27" s="1" t="s">
        <v>388</v>
      </c>
      <c r="O27" s="1" t="s">
        <v>112</v>
      </c>
      <c r="P27" s="1" t="s">
        <v>389</v>
      </c>
      <c r="Q27" s="1" t="s">
        <v>50</v>
      </c>
      <c r="R27" s="1" t="s">
        <v>390</v>
      </c>
    </row>
    <row r="28" spans="1:18" ht="60">
      <c r="A28" s="4">
        <v>27</v>
      </c>
      <c r="B28" s="1" t="s">
        <v>391</v>
      </c>
      <c r="C28" s="1" t="s">
        <v>392</v>
      </c>
      <c r="D28" s="1" t="s">
        <v>393</v>
      </c>
      <c r="E28" s="1" t="s">
        <v>394</v>
      </c>
      <c r="F28" s="1" t="s">
        <v>395</v>
      </c>
      <c r="G28" s="1" t="s">
        <v>396</v>
      </c>
      <c r="H28" s="1" t="s">
        <v>397</v>
      </c>
      <c r="I28" s="1" t="s">
        <v>398</v>
      </c>
      <c r="J28" s="1" t="s">
        <v>399</v>
      </c>
      <c r="K28" s="1" t="s">
        <v>400</v>
      </c>
      <c r="L28" s="1" t="s">
        <v>401</v>
      </c>
      <c r="M28" s="1" t="s">
        <v>402</v>
      </c>
      <c r="N28" s="1" t="s">
        <v>403</v>
      </c>
      <c r="O28" s="1" t="s">
        <v>112</v>
      </c>
      <c r="P28" s="1" t="s">
        <v>404</v>
      </c>
      <c r="Q28" s="1" t="s">
        <v>65</v>
      </c>
      <c r="R28" s="1" t="s">
        <v>405</v>
      </c>
    </row>
    <row r="29" spans="1:18" ht="30">
      <c r="A29" s="4">
        <v>28</v>
      </c>
      <c r="B29" s="1" t="s">
        <v>406</v>
      </c>
      <c r="C29" s="1" t="s">
        <v>377</v>
      </c>
      <c r="D29" s="1" t="s">
        <v>393</v>
      </c>
      <c r="E29" s="1" t="s">
        <v>407</v>
      </c>
      <c r="F29" s="1" t="s">
        <v>79</v>
      </c>
      <c r="G29" s="1" t="s">
        <v>408</v>
      </c>
      <c r="H29" s="1" t="s">
        <v>409</v>
      </c>
      <c r="I29" s="1" t="s">
        <v>410</v>
      </c>
      <c r="J29" s="1" t="s">
        <v>411</v>
      </c>
      <c r="K29" s="1" t="s">
        <v>412</v>
      </c>
      <c r="L29" s="1" t="s">
        <v>413</v>
      </c>
      <c r="M29" s="1" t="s">
        <v>414</v>
      </c>
      <c r="N29" s="1" t="s">
        <v>415</v>
      </c>
      <c r="O29" s="1" t="s">
        <v>416</v>
      </c>
      <c r="P29" s="1" t="s">
        <v>417</v>
      </c>
      <c r="Q29" s="1" t="s">
        <v>65</v>
      </c>
      <c r="R29" s="1" t="s">
        <v>418</v>
      </c>
    </row>
    <row r="30" spans="1:18" ht="75">
      <c r="A30" s="4">
        <v>29</v>
      </c>
      <c r="B30" s="1" t="s">
        <v>419</v>
      </c>
      <c r="C30" s="1" t="s">
        <v>377</v>
      </c>
      <c r="D30" s="1" t="s">
        <v>393</v>
      </c>
      <c r="E30" s="1" t="s">
        <v>420</v>
      </c>
      <c r="F30" s="1" t="s">
        <v>79</v>
      </c>
      <c r="G30" s="1" t="s">
        <v>421</v>
      </c>
      <c r="H30" s="1" t="s">
        <v>422</v>
      </c>
      <c r="I30" s="1" t="s">
        <v>423</v>
      </c>
      <c r="J30" s="1" t="s">
        <v>424</v>
      </c>
      <c r="K30" s="1" t="s">
        <v>425</v>
      </c>
      <c r="L30" s="1" t="s">
        <v>426</v>
      </c>
      <c r="M30" s="1" t="s">
        <v>427</v>
      </c>
      <c r="N30" s="1" t="s">
        <v>428</v>
      </c>
      <c r="O30" s="1" t="s">
        <v>112</v>
      </c>
      <c r="P30" s="1" t="s">
        <v>429</v>
      </c>
      <c r="Q30" s="1" t="s">
        <v>50</v>
      </c>
      <c r="R30" s="1" t="s">
        <v>430</v>
      </c>
    </row>
    <row r="31" spans="1:18" ht="60">
      <c r="A31" s="4">
        <v>30</v>
      </c>
      <c r="B31" s="1" t="s">
        <v>431</v>
      </c>
      <c r="C31" s="1" t="s">
        <v>377</v>
      </c>
      <c r="D31" s="1" t="s">
        <v>432</v>
      </c>
      <c r="E31" s="1" t="s">
        <v>433</v>
      </c>
      <c r="F31" s="1" t="s">
        <v>79</v>
      </c>
      <c r="G31" s="1" t="s">
        <v>434</v>
      </c>
      <c r="H31" s="1" t="s">
        <v>435</v>
      </c>
      <c r="I31" s="1" t="s">
        <v>436</v>
      </c>
      <c r="J31" s="1" t="s">
        <v>437</v>
      </c>
      <c r="K31" s="1" t="s">
        <v>438</v>
      </c>
      <c r="L31" s="1" t="s">
        <v>439</v>
      </c>
      <c r="M31" s="1" t="s">
        <v>440</v>
      </c>
      <c r="N31" s="1" t="s">
        <v>441</v>
      </c>
      <c r="O31" s="1" t="s">
        <v>442</v>
      </c>
      <c r="P31" s="1" t="s">
        <v>443</v>
      </c>
      <c r="Q31" s="1" t="s">
        <v>50</v>
      </c>
      <c r="R31" s="1" t="s">
        <v>444</v>
      </c>
    </row>
    <row r="32" spans="1:18" ht="30">
      <c r="A32" s="4">
        <v>31</v>
      </c>
      <c r="B32" s="1" t="s">
        <v>445</v>
      </c>
      <c r="C32" s="1" t="s">
        <v>446</v>
      </c>
      <c r="D32" s="1" t="s">
        <v>447</v>
      </c>
      <c r="E32" s="1" t="s">
        <v>433</v>
      </c>
      <c r="F32" s="1" t="s">
        <v>79</v>
      </c>
      <c r="G32" s="1" t="s">
        <v>448</v>
      </c>
      <c r="H32" s="1" t="s">
        <v>449</v>
      </c>
      <c r="I32" s="1" t="s">
        <v>450</v>
      </c>
      <c r="J32" s="1" t="s">
        <v>451</v>
      </c>
      <c r="K32" s="1" t="s">
        <v>446</v>
      </c>
      <c r="L32" s="1" t="s">
        <v>452</v>
      </c>
      <c r="M32" s="1" t="s">
        <v>453</v>
      </c>
      <c r="N32" s="1" t="s">
        <v>454</v>
      </c>
      <c r="O32" s="1" t="s">
        <v>416</v>
      </c>
      <c r="P32" s="1" t="s">
        <v>455</v>
      </c>
      <c r="Q32" s="1" t="s">
        <v>50</v>
      </c>
      <c r="R32" s="1" t="s">
        <v>456</v>
      </c>
    </row>
    <row r="33" spans="1:18" ht="60">
      <c r="A33" s="4">
        <v>32</v>
      </c>
      <c r="B33" s="1" t="s">
        <v>457</v>
      </c>
      <c r="C33" s="1" t="s">
        <v>293</v>
      </c>
      <c r="D33" s="1" t="s">
        <v>458</v>
      </c>
      <c r="E33" s="1" t="s">
        <v>459</v>
      </c>
      <c r="F33" s="1" t="s">
        <v>460</v>
      </c>
      <c r="G33" s="1" t="s">
        <v>461</v>
      </c>
      <c r="H33" s="1" t="s">
        <v>462</v>
      </c>
      <c r="I33" s="1" t="s">
        <v>463</v>
      </c>
      <c r="J33" s="1" t="s">
        <v>464</v>
      </c>
      <c r="K33" s="1" t="s">
        <v>465</v>
      </c>
      <c r="L33" s="1" t="s">
        <v>466</v>
      </c>
      <c r="M33" s="1" t="s">
        <v>467</v>
      </c>
      <c r="N33" s="1" t="s">
        <v>468</v>
      </c>
      <c r="O33" s="1" t="s">
        <v>112</v>
      </c>
      <c r="P33" s="1" t="s">
        <v>469</v>
      </c>
      <c r="Q33" s="1" t="s">
        <v>50</v>
      </c>
      <c r="R33" s="1" t="s">
        <v>470</v>
      </c>
    </row>
    <row r="34" spans="1:18" ht="45">
      <c r="A34" s="4">
        <v>33</v>
      </c>
      <c r="B34" s="1" t="s">
        <v>471</v>
      </c>
      <c r="C34" s="1" t="s">
        <v>333</v>
      </c>
      <c r="D34" s="1" t="s">
        <v>472</v>
      </c>
      <c r="E34" s="1" t="s">
        <v>473</v>
      </c>
      <c r="F34" s="1" t="s">
        <v>79</v>
      </c>
      <c r="G34" s="1" t="s">
        <v>474</v>
      </c>
      <c r="H34" s="1" t="s">
        <v>475</v>
      </c>
      <c r="I34" s="1" t="s">
        <v>476</v>
      </c>
      <c r="J34" s="1" t="s">
        <v>477</v>
      </c>
      <c r="K34" s="1" t="s">
        <v>478</v>
      </c>
      <c r="L34" s="1" t="s">
        <v>479</v>
      </c>
      <c r="M34" s="1" t="s">
        <v>480</v>
      </c>
      <c r="N34" s="1" t="s">
        <v>481</v>
      </c>
      <c r="O34" s="1" t="s">
        <v>482</v>
      </c>
      <c r="P34" s="1" t="s">
        <v>483</v>
      </c>
      <c r="Q34" s="1" t="s">
        <v>50</v>
      </c>
      <c r="R34" s="1" t="s">
        <v>484</v>
      </c>
    </row>
    <row r="35" spans="1:18" ht="30">
      <c r="A35" s="4">
        <v>34</v>
      </c>
      <c r="B35" s="1" t="s">
        <v>485</v>
      </c>
      <c r="C35" s="1" t="s">
        <v>333</v>
      </c>
      <c r="D35" s="1" t="s">
        <v>472</v>
      </c>
      <c r="E35" s="1" t="s">
        <v>473</v>
      </c>
      <c r="F35" s="1" t="s">
        <v>79</v>
      </c>
      <c r="G35" s="1" t="s">
        <v>486</v>
      </c>
      <c r="H35" s="1" t="s">
        <v>487</v>
      </c>
      <c r="I35" s="1" t="s">
        <v>488</v>
      </c>
      <c r="J35" s="1" t="s">
        <v>489</v>
      </c>
      <c r="K35" s="1" t="s">
        <v>490</v>
      </c>
      <c r="L35" s="1" t="s">
        <v>491</v>
      </c>
      <c r="M35" s="1" t="s">
        <v>492</v>
      </c>
      <c r="N35" s="1" t="s">
        <v>493</v>
      </c>
      <c r="O35" s="1" t="s">
        <v>166</v>
      </c>
      <c r="P35" s="1" t="s">
        <v>494</v>
      </c>
      <c r="Q35" s="1" t="s">
        <v>50</v>
      </c>
      <c r="R35" s="1" t="s">
        <v>495</v>
      </c>
    </row>
    <row r="36" spans="1:18" ht="60">
      <c r="A36" s="4">
        <v>35</v>
      </c>
      <c r="B36" s="1" t="s">
        <v>496</v>
      </c>
      <c r="C36" s="1" t="s">
        <v>497</v>
      </c>
      <c r="D36" s="1" t="s">
        <v>472</v>
      </c>
      <c r="E36" s="1" t="s">
        <v>498</v>
      </c>
      <c r="F36" s="1" t="s">
        <v>499</v>
      </c>
      <c r="G36" s="1" t="s">
        <v>500</v>
      </c>
      <c r="H36" s="1" t="s">
        <v>501</v>
      </c>
      <c r="I36" s="1" t="s">
        <v>502</v>
      </c>
      <c r="J36" s="1" t="s">
        <v>503</v>
      </c>
      <c r="K36" s="1" t="s">
        <v>504</v>
      </c>
      <c r="L36" s="1" t="s">
        <v>505</v>
      </c>
      <c r="M36" s="1" t="s">
        <v>506</v>
      </c>
      <c r="N36" s="1" t="s">
        <v>507</v>
      </c>
      <c r="O36" s="1" t="s">
        <v>508</v>
      </c>
      <c r="P36" s="1" t="s">
        <v>509</v>
      </c>
      <c r="Q36" s="1" t="s">
        <v>50</v>
      </c>
      <c r="R36" s="1" t="s">
        <v>510</v>
      </c>
    </row>
    <row r="37" spans="1:18" ht="45">
      <c r="A37" s="4">
        <v>36</v>
      </c>
      <c r="B37" s="1" t="s">
        <v>511</v>
      </c>
      <c r="C37" s="1" t="s">
        <v>512</v>
      </c>
      <c r="D37" s="1" t="s">
        <v>513</v>
      </c>
      <c r="E37" s="1" t="s">
        <v>514</v>
      </c>
      <c r="F37" s="1" t="s">
        <v>515</v>
      </c>
      <c r="G37" s="1" t="s">
        <v>516</v>
      </c>
      <c r="H37" s="1" t="s">
        <v>517</v>
      </c>
      <c r="I37" s="1" t="s">
        <v>518</v>
      </c>
      <c r="J37" s="1" t="s">
        <v>519</v>
      </c>
      <c r="K37" s="1" t="s">
        <v>520</v>
      </c>
      <c r="L37" s="1" t="s">
        <v>521</v>
      </c>
      <c r="M37" s="1" t="s">
        <v>522</v>
      </c>
      <c r="N37" s="1" t="s">
        <v>523</v>
      </c>
      <c r="O37" s="1" t="s">
        <v>524</v>
      </c>
      <c r="P37" s="1" t="s">
        <v>525</v>
      </c>
      <c r="Q37" s="1" t="s">
        <v>50</v>
      </c>
      <c r="R37" s="1" t="s">
        <v>526</v>
      </c>
    </row>
    <row r="38" spans="1:18" ht="60">
      <c r="A38" s="4">
        <v>37</v>
      </c>
      <c r="B38" s="1" t="s">
        <v>527</v>
      </c>
      <c r="C38" s="1" t="s">
        <v>36</v>
      </c>
      <c r="D38" s="1" t="s">
        <v>528</v>
      </c>
      <c r="E38" s="1" t="s">
        <v>158</v>
      </c>
      <c r="F38" s="1" t="s">
        <v>529</v>
      </c>
      <c r="G38" s="1" t="s">
        <v>530</v>
      </c>
      <c r="H38" s="1" t="s">
        <v>531</v>
      </c>
      <c r="I38" s="1" t="s">
        <v>532</v>
      </c>
      <c r="J38" s="1" t="s">
        <v>533</v>
      </c>
      <c r="K38" s="1" t="s">
        <v>534</v>
      </c>
      <c r="L38" s="1" t="s">
        <v>535</v>
      </c>
      <c r="M38" s="1" t="s">
        <v>536</v>
      </c>
      <c r="N38" s="1" t="s">
        <v>537</v>
      </c>
      <c r="O38" s="1" t="s">
        <v>538</v>
      </c>
      <c r="P38" s="1" t="s">
        <v>539</v>
      </c>
      <c r="Q38" s="1" t="s">
        <v>50</v>
      </c>
      <c r="R38" s="1" t="s">
        <v>540</v>
      </c>
    </row>
  </sheetData>
  <phoneticPr fontId="5" type="noConversion"/>
  <conditionalFormatting sqref="Q2:Q38">
    <cfRule type="expression" dxfId="2" priority="1">
      <formula>Q2="低"</formula>
    </cfRule>
    <cfRule type="expression" dxfId="1" priority="2">
      <formula>Q2="中"</formula>
    </cfRule>
    <cfRule type="expression" dxfId="0" priority="3">
      <formula>Q2="高"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4"/>
  <sheetViews>
    <sheetView topLeftCell="A3" workbookViewId="0"/>
  </sheetViews>
  <sheetFormatPr baseColWidth="10" defaultColWidth="8.83203125" defaultRowHeight="14"/>
  <cols>
    <col min="1" max="1" width="24" customWidth="1"/>
    <col min="2" max="2" width="14" customWidth="1"/>
    <col min="3" max="3" width="28" customWidth="1"/>
    <col min="4" max="4" width="26" customWidth="1"/>
    <col min="5" max="5" width="40" customWidth="1"/>
    <col min="6" max="6" width="50" customWidth="1"/>
  </cols>
  <sheetData>
    <row r="1" spans="1:6" ht="16">
      <c r="A1" s="3" t="s">
        <v>541</v>
      </c>
      <c r="B1" s="3" t="s">
        <v>19</v>
      </c>
      <c r="C1" s="3" t="s">
        <v>542</v>
      </c>
      <c r="D1" s="3" t="s">
        <v>543</v>
      </c>
      <c r="E1" s="3" t="s">
        <v>544</v>
      </c>
      <c r="F1" s="3" t="s">
        <v>545</v>
      </c>
    </row>
    <row r="2" spans="1:6" ht="30">
      <c r="A2" s="1" t="s">
        <v>546</v>
      </c>
      <c r="B2" s="1" t="s">
        <v>547</v>
      </c>
      <c r="C2" s="1" t="s">
        <v>548</v>
      </c>
      <c r="D2" s="1" t="s">
        <v>549</v>
      </c>
      <c r="E2" s="1" t="s">
        <v>550</v>
      </c>
      <c r="F2" s="1" t="s">
        <v>551</v>
      </c>
    </row>
    <row r="3" spans="1:6" ht="15">
      <c r="A3" s="1" t="s">
        <v>552</v>
      </c>
      <c r="B3" s="1" t="s">
        <v>547</v>
      </c>
      <c r="C3" s="1" t="s">
        <v>553</v>
      </c>
      <c r="D3" s="1" t="s">
        <v>554</v>
      </c>
      <c r="E3" s="1" t="s">
        <v>555</v>
      </c>
      <c r="F3" s="1" t="s">
        <v>556</v>
      </c>
    </row>
    <row r="4" spans="1:6" ht="15">
      <c r="A4" s="1" t="s">
        <v>557</v>
      </c>
      <c r="B4" s="1" t="s">
        <v>558</v>
      </c>
      <c r="C4" s="1" t="s">
        <v>559</v>
      </c>
      <c r="D4" s="1" t="s">
        <v>560</v>
      </c>
      <c r="E4" s="1" t="s">
        <v>561</v>
      </c>
      <c r="F4" s="1" t="s">
        <v>562</v>
      </c>
    </row>
    <row r="5" spans="1:6" ht="15">
      <c r="A5" s="1" t="s">
        <v>563</v>
      </c>
      <c r="B5" s="1" t="s">
        <v>564</v>
      </c>
      <c r="C5" s="1" t="s">
        <v>565</v>
      </c>
      <c r="D5" s="1" t="s">
        <v>566</v>
      </c>
      <c r="E5" s="1" t="s">
        <v>567</v>
      </c>
      <c r="F5" s="1" t="s">
        <v>568</v>
      </c>
    </row>
    <row r="6" spans="1:6" ht="30">
      <c r="A6" s="1" t="s">
        <v>569</v>
      </c>
      <c r="B6" s="1" t="s">
        <v>570</v>
      </c>
      <c r="C6" s="1" t="s">
        <v>102</v>
      </c>
      <c r="D6" s="1" t="s">
        <v>571</v>
      </c>
      <c r="E6" s="1" t="s">
        <v>572</v>
      </c>
      <c r="F6" s="1" t="s">
        <v>573</v>
      </c>
    </row>
    <row r="7" spans="1:6" ht="15">
      <c r="A7" s="1" t="s">
        <v>161</v>
      </c>
      <c r="B7" s="1" t="s">
        <v>558</v>
      </c>
      <c r="C7" s="1" t="s">
        <v>574</v>
      </c>
      <c r="D7" s="1" t="s">
        <v>575</v>
      </c>
      <c r="E7" s="1" t="s">
        <v>576</v>
      </c>
      <c r="F7" s="1" t="s">
        <v>577</v>
      </c>
    </row>
    <row r="8" spans="1:6" ht="15">
      <c r="A8" s="1" t="s">
        <v>578</v>
      </c>
      <c r="B8" s="1" t="s">
        <v>579</v>
      </c>
      <c r="C8" s="1" t="s">
        <v>580</v>
      </c>
      <c r="D8" s="1" t="s">
        <v>581</v>
      </c>
      <c r="E8" s="1" t="s">
        <v>582</v>
      </c>
      <c r="F8" s="1" t="s">
        <v>583</v>
      </c>
    </row>
    <row r="9" spans="1:6" ht="30">
      <c r="A9" s="1" t="s">
        <v>584</v>
      </c>
      <c r="B9" s="1" t="s">
        <v>585</v>
      </c>
      <c r="C9" s="1" t="s">
        <v>586</v>
      </c>
      <c r="D9" s="1" t="s">
        <v>587</v>
      </c>
      <c r="E9" s="1" t="s">
        <v>588</v>
      </c>
      <c r="F9" s="1" t="s">
        <v>589</v>
      </c>
    </row>
    <row r="10" spans="1:6" ht="15">
      <c r="A10" s="1" t="s">
        <v>590</v>
      </c>
      <c r="B10" s="1" t="s">
        <v>547</v>
      </c>
      <c r="C10" s="1" t="s">
        <v>591</v>
      </c>
      <c r="D10" s="1" t="s">
        <v>592</v>
      </c>
      <c r="E10" s="1" t="s">
        <v>593</v>
      </c>
      <c r="F10" s="1" t="s">
        <v>594</v>
      </c>
    </row>
    <row r="11" spans="1:6" ht="15">
      <c r="A11" s="1" t="s">
        <v>595</v>
      </c>
      <c r="B11" s="1" t="s">
        <v>547</v>
      </c>
      <c r="C11" s="1" t="s">
        <v>596</v>
      </c>
      <c r="D11" s="1" t="s">
        <v>597</v>
      </c>
      <c r="E11" s="1" t="s">
        <v>598</v>
      </c>
      <c r="F11" s="1" t="s">
        <v>599</v>
      </c>
    </row>
    <row r="12" spans="1:6" ht="15">
      <c r="A12" s="1" t="s">
        <v>600</v>
      </c>
      <c r="B12" s="1" t="s">
        <v>547</v>
      </c>
      <c r="C12" s="1" t="s">
        <v>601</v>
      </c>
      <c r="D12" s="1" t="s">
        <v>602</v>
      </c>
      <c r="E12" s="1" t="s">
        <v>603</v>
      </c>
      <c r="F12" s="1" t="s">
        <v>604</v>
      </c>
    </row>
    <row r="13" spans="1:6" ht="15">
      <c r="A13" s="1" t="s">
        <v>605</v>
      </c>
      <c r="B13" s="1" t="s">
        <v>547</v>
      </c>
      <c r="C13" s="1" t="s">
        <v>606</v>
      </c>
      <c r="D13" s="1" t="s">
        <v>607</v>
      </c>
      <c r="E13" s="1" t="s">
        <v>608</v>
      </c>
      <c r="F13" s="1" t="s">
        <v>609</v>
      </c>
    </row>
    <row r="14" spans="1:6" ht="15">
      <c r="A14" s="1" t="s">
        <v>270</v>
      </c>
      <c r="B14" s="1" t="s">
        <v>610</v>
      </c>
      <c r="C14" s="1" t="s">
        <v>611</v>
      </c>
      <c r="D14" s="1" t="s">
        <v>612</v>
      </c>
      <c r="E14" s="1" t="s">
        <v>613</v>
      </c>
      <c r="F14" s="1" t="s">
        <v>614</v>
      </c>
    </row>
    <row r="15" spans="1:6" ht="15">
      <c r="A15" s="1" t="s">
        <v>297</v>
      </c>
      <c r="B15" s="1" t="s">
        <v>558</v>
      </c>
      <c r="C15" s="1" t="s">
        <v>615</v>
      </c>
      <c r="D15" s="1" t="s">
        <v>616</v>
      </c>
      <c r="E15" s="1" t="s">
        <v>617</v>
      </c>
      <c r="F15" s="1" t="s">
        <v>618</v>
      </c>
    </row>
    <row r="16" spans="1:6" ht="30">
      <c r="A16" s="1" t="s">
        <v>619</v>
      </c>
      <c r="B16" s="1" t="s">
        <v>620</v>
      </c>
      <c r="C16" s="1" t="s">
        <v>621</v>
      </c>
      <c r="D16" s="1" t="s">
        <v>622</v>
      </c>
      <c r="E16" s="1" t="s">
        <v>623</v>
      </c>
      <c r="F16" s="1" t="s">
        <v>624</v>
      </c>
    </row>
    <row r="17" spans="1:6" ht="15">
      <c r="A17" s="1" t="s">
        <v>625</v>
      </c>
      <c r="B17" s="1" t="s">
        <v>626</v>
      </c>
      <c r="C17" s="1" t="s">
        <v>627</v>
      </c>
      <c r="D17" s="1" t="s">
        <v>628</v>
      </c>
      <c r="E17" s="1" t="s">
        <v>629</v>
      </c>
      <c r="F17" s="1" t="s">
        <v>630</v>
      </c>
    </row>
    <row r="18" spans="1:6" ht="30">
      <c r="A18" s="1" t="s">
        <v>631</v>
      </c>
      <c r="B18" s="1" t="s">
        <v>547</v>
      </c>
      <c r="C18" s="1" t="s">
        <v>632</v>
      </c>
      <c r="D18" s="1" t="s">
        <v>633</v>
      </c>
      <c r="E18" s="1" t="s">
        <v>634</v>
      </c>
      <c r="F18" s="1" t="s">
        <v>635</v>
      </c>
    </row>
    <row r="19" spans="1:6" ht="15">
      <c r="A19" s="1" t="s">
        <v>636</v>
      </c>
      <c r="B19" s="1" t="s">
        <v>400</v>
      </c>
      <c r="C19" s="1" t="s">
        <v>637</v>
      </c>
      <c r="D19" s="1" t="s">
        <v>638</v>
      </c>
      <c r="E19" s="1" t="s">
        <v>639</v>
      </c>
      <c r="F19" s="1" t="s">
        <v>640</v>
      </c>
    </row>
    <row r="20" spans="1:6" ht="15">
      <c r="A20" s="1" t="s">
        <v>641</v>
      </c>
      <c r="B20" s="1" t="s">
        <v>412</v>
      </c>
      <c r="C20" s="1" t="s">
        <v>642</v>
      </c>
      <c r="D20" s="1" t="s">
        <v>643</v>
      </c>
      <c r="E20" s="1" t="s">
        <v>644</v>
      </c>
      <c r="F20" s="1" t="s">
        <v>645</v>
      </c>
    </row>
    <row r="21" spans="1:6" ht="30">
      <c r="A21" s="1" t="s">
        <v>646</v>
      </c>
      <c r="B21" s="1" t="s">
        <v>438</v>
      </c>
      <c r="C21" s="1" t="s">
        <v>647</v>
      </c>
      <c r="D21" s="1" t="s">
        <v>433</v>
      </c>
      <c r="E21" s="1" t="s">
        <v>648</v>
      </c>
      <c r="F21" s="1" t="s">
        <v>649</v>
      </c>
    </row>
    <row r="22" spans="1:6" ht="15">
      <c r="A22" s="1" t="s">
        <v>650</v>
      </c>
      <c r="B22" s="1" t="s">
        <v>651</v>
      </c>
      <c r="C22" s="1" t="s">
        <v>652</v>
      </c>
      <c r="D22" s="1" t="s">
        <v>653</v>
      </c>
      <c r="E22" s="1" t="s">
        <v>654</v>
      </c>
      <c r="F22" s="1" t="s">
        <v>655</v>
      </c>
    </row>
    <row r="23" spans="1:6" ht="15">
      <c r="A23" s="1" t="s">
        <v>656</v>
      </c>
      <c r="B23" s="1" t="s">
        <v>547</v>
      </c>
      <c r="C23" s="1" t="s">
        <v>657</v>
      </c>
      <c r="D23" s="1" t="s">
        <v>658</v>
      </c>
      <c r="E23" s="1" t="s">
        <v>659</v>
      </c>
      <c r="F23" s="1" t="s">
        <v>660</v>
      </c>
    </row>
    <row r="24" spans="1:6" ht="30">
      <c r="A24" s="1" t="s">
        <v>661</v>
      </c>
      <c r="B24" s="1" t="s">
        <v>662</v>
      </c>
      <c r="C24" s="1" t="s">
        <v>663</v>
      </c>
      <c r="D24" s="1" t="s">
        <v>664</v>
      </c>
      <c r="E24" s="1" t="s">
        <v>665</v>
      </c>
      <c r="F24" s="1" t="s">
        <v>666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workbookViewId="0"/>
  </sheetViews>
  <sheetFormatPr baseColWidth="10" defaultColWidth="8.83203125" defaultRowHeight="14"/>
  <cols>
    <col min="1" max="1" width="18" customWidth="1"/>
    <col min="2" max="2" width="34" customWidth="1"/>
    <col min="3" max="3" width="48" customWidth="1"/>
    <col min="4" max="4" width="70" customWidth="1"/>
  </cols>
  <sheetData>
    <row r="1" spans="1:4" ht="16">
      <c r="A1" s="3" t="s">
        <v>667</v>
      </c>
      <c r="B1" s="3" t="s">
        <v>668</v>
      </c>
      <c r="C1" s="3" t="s">
        <v>669</v>
      </c>
      <c r="D1" s="3" t="s">
        <v>670</v>
      </c>
    </row>
    <row r="2" spans="1:4" ht="30">
      <c r="A2" s="1" t="s">
        <v>671</v>
      </c>
      <c r="B2" s="1" t="s">
        <v>672</v>
      </c>
      <c r="C2" s="1" t="s">
        <v>673</v>
      </c>
      <c r="D2" s="1" t="s">
        <v>674</v>
      </c>
    </row>
    <row r="3" spans="1:4" ht="30">
      <c r="A3" s="1" t="s">
        <v>675</v>
      </c>
      <c r="B3" s="1" t="s">
        <v>676</v>
      </c>
      <c r="C3" s="1" t="s">
        <v>677</v>
      </c>
      <c r="D3" s="1" t="s">
        <v>678</v>
      </c>
    </row>
    <row r="4" spans="1:4" ht="30">
      <c r="A4" s="1" t="s">
        <v>679</v>
      </c>
      <c r="B4" s="1" t="s">
        <v>680</v>
      </c>
      <c r="C4" s="1" t="s">
        <v>681</v>
      </c>
      <c r="D4" s="1" t="s">
        <v>682</v>
      </c>
    </row>
    <row r="5" spans="1:4" ht="30">
      <c r="A5" s="1" t="s">
        <v>683</v>
      </c>
      <c r="B5" s="1" t="s">
        <v>684</v>
      </c>
      <c r="C5" s="1" t="s">
        <v>685</v>
      </c>
      <c r="D5" s="1" t="s">
        <v>686</v>
      </c>
    </row>
    <row r="6" spans="1:4" ht="15">
      <c r="A6" s="1" t="s">
        <v>687</v>
      </c>
      <c r="B6" s="1" t="s">
        <v>688</v>
      </c>
      <c r="C6" s="1" t="s">
        <v>689</v>
      </c>
      <c r="D6" s="1" t="s">
        <v>690</v>
      </c>
    </row>
    <row r="7" spans="1:4" ht="15">
      <c r="A7" s="1" t="s">
        <v>691</v>
      </c>
      <c r="B7" s="1" t="s">
        <v>692</v>
      </c>
      <c r="C7" s="1" t="s">
        <v>693</v>
      </c>
      <c r="D7" s="1" t="s">
        <v>694</v>
      </c>
    </row>
    <row r="8" spans="1:4" ht="15">
      <c r="A8" s="1" t="s">
        <v>695</v>
      </c>
      <c r="B8" s="1" t="s">
        <v>696</v>
      </c>
      <c r="C8" s="1" t="s">
        <v>697</v>
      </c>
      <c r="D8" s="1" t="s">
        <v>698</v>
      </c>
    </row>
    <row r="9" spans="1:4" ht="15">
      <c r="A9" s="1" t="s">
        <v>699</v>
      </c>
      <c r="B9" s="1" t="s">
        <v>700</v>
      </c>
      <c r="C9" s="1" t="s">
        <v>701</v>
      </c>
      <c r="D9" s="1" t="s">
        <v>702</v>
      </c>
    </row>
    <row r="10" spans="1:4" ht="30">
      <c r="A10" s="1" t="s">
        <v>703</v>
      </c>
      <c r="B10" s="1" t="s">
        <v>704</v>
      </c>
      <c r="C10" s="1" t="s">
        <v>705</v>
      </c>
      <c r="D10" s="1" t="s">
        <v>706</v>
      </c>
    </row>
    <row r="11" spans="1:4" ht="15">
      <c r="A11" s="1" t="s">
        <v>707</v>
      </c>
      <c r="B11" s="1" t="s">
        <v>708</v>
      </c>
      <c r="C11" s="1" t="s">
        <v>709</v>
      </c>
      <c r="D11" s="1" t="s">
        <v>710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/>
  </sheetViews>
  <sheetFormatPr baseColWidth="10" defaultColWidth="8.83203125" defaultRowHeight="14"/>
  <cols>
    <col min="1" max="1" width="20" customWidth="1"/>
    <col min="2" max="2" width="48" customWidth="1"/>
    <col min="3" max="3" width="58" customWidth="1"/>
    <col min="4" max="4" width="48" customWidth="1"/>
    <col min="5" max="5" width="46" customWidth="1"/>
  </cols>
  <sheetData>
    <row r="1" spans="1:5" ht="16">
      <c r="A1" s="3" t="s">
        <v>711</v>
      </c>
      <c r="B1" s="3" t="s">
        <v>712</v>
      </c>
      <c r="C1" s="3" t="s">
        <v>713</v>
      </c>
      <c r="D1" s="3" t="s">
        <v>714</v>
      </c>
      <c r="E1" s="3" t="s">
        <v>715</v>
      </c>
    </row>
    <row r="2" spans="1:5" ht="45">
      <c r="A2" s="1" t="s">
        <v>716</v>
      </c>
      <c r="B2" s="1" t="s">
        <v>717</v>
      </c>
      <c r="C2" s="1" t="s">
        <v>718</v>
      </c>
      <c r="D2" s="1" t="s">
        <v>719</v>
      </c>
      <c r="E2" s="1" t="s">
        <v>720</v>
      </c>
    </row>
    <row r="3" spans="1:5" ht="45">
      <c r="A3" s="1" t="s">
        <v>721</v>
      </c>
      <c r="B3" s="1" t="s">
        <v>722</v>
      </c>
      <c r="C3" s="1" t="s">
        <v>723</v>
      </c>
      <c r="D3" s="1" t="s">
        <v>724</v>
      </c>
      <c r="E3" s="1" t="s">
        <v>725</v>
      </c>
    </row>
    <row r="4" spans="1:5" ht="45">
      <c r="A4" s="1" t="s">
        <v>726</v>
      </c>
      <c r="B4" s="1" t="s">
        <v>727</v>
      </c>
      <c r="C4" s="1" t="s">
        <v>728</v>
      </c>
      <c r="D4" s="1" t="s">
        <v>729</v>
      </c>
      <c r="E4" s="1" t="s">
        <v>730</v>
      </c>
    </row>
    <row r="5" spans="1:5" ht="30">
      <c r="A5" s="1" t="s">
        <v>731</v>
      </c>
      <c r="B5" s="1" t="s">
        <v>732</v>
      </c>
      <c r="C5" s="1" t="s">
        <v>733</v>
      </c>
      <c r="D5" s="1" t="s">
        <v>734</v>
      </c>
      <c r="E5" s="1" t="s">
        <v>735</v>
      </c>
    </row>
    <row r="6" spans="1:5" ht="30">
      <c r="A6" s="1" t="s">
        <v>736</v>
      </c>
      <c r="B6" s="1" t="s">
        <v>737</v>
      </c>
      <c r="C6" s="1" t="s">
        <v>738</v>
      </c>
      <c r="D6" s="1" t="s">
        <v>739</v>
      </c>
      <c r="E6" s="1" t="s">
        <v>740</v>
      </c>
    </row>
    <row r="7" spans="1:5" ht="30">
      <c r="A7" s="1" t="s">
        <v>741</v>
      </c>
      <c r="B7" s="1" t="s">
        <v>742</v>
      </c>
      <c r="C7" s="1" t="s">
        <v>743</v>
      </c>
      <c r="D7" s="1" t="s">
        <v>744</v>
      </c>
      <c r="E7" s="1" t="s">
        <v>745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使用说明_研究框架</vt:lpstr>
      <vt:lpstr>项目清单_基础库</vt:lpstr>
      <vt:lpstr>公司与价值流向</vt:lpstr>
      <vt:lpstr>来源与更新建议</vt:lpstr>
      <vt:lpstr>摘要_可直接引用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B5901</cp:lastModifiedBy>
  <dcterms:created xsi:type="dcterms:W3CDTF">2026-05-24T02:55:40Z</dcterms:created>
  <dcterms:modified xsi:type="dcterms:W3CDTF">2026-05-24T02:55:40Z</dcterms:modified>
</cp:coreProperties>
</file>